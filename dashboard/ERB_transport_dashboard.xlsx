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+0.0%;-0.0%"/>
  </numFmts>
  <fonts count="11">
    <font>
      <name val="Calibri"/>
      <family val="2"/>
      <color theme="1"/>
      <sz val="11"/>
      <scheme val="minor"/>
    </font>
    <font>
      <i val="1"/>
      <color rgb="00595959"/>
    </font>
    <font>
      <b val="1"/>
      <color rgb="001F3864"/>
      <sz val="11"/>
    </font>
    <font>
      <b val="1"/>
      <color rgb="00FFFFFF"/>
    </font>
    <font>
      <b val="1"/>
      <color rgb="00FFFFFF"/>
      <sz val="18"/>
    </font>
    <font>
      <i val="1"/>
      <color rgb="00C00000"/>
      <sz val="10"/>
    </font>
    <font>
      <b val="1"/>
      <color rgb="001F3864"/>
      <sz val="10"/>
    </font>
    <font>
      <b val="1"/>
      <color rgb="001F3864"/>
      <sz val="20"/>
    </font>
    <font>
      <i val="1"/>
      <color rgb="00595959"/>
      <sz val="9"/>
    </font>
    <font>
      <b val="1"/>
      <color rgb="00FFFFFF"/>
      <sz val="12"/>
    </font>
    <font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Petroleum volume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'Data'!B4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'Data'!$A$5:$A$8</f>
            </numRef>
          </cat>
          <val>
            <numRef>
              <f>'Data'!$B$5:$B$8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Volume by destination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'Data'!B12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'Data'!$A$13:$A$21</f>
            </numRef>
          </cat>
          <val>
            <numRef>
              <f>'Data'!$B$13:$B$21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Province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transport cost by destination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'Data'!B25</f>
            </strRef>
          </tx>
          <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spPr>
          <cat>
            <numRef>
              <f>'Data'!$A$26:$A$35</f>
            </numRef>
          </cat>
          <val>
            <numRef>
              <f>'Data'!$B$26:$B$35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Destination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cost (ZMW)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Transport cost trend over time (weekly average)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'Data'!B39</f>
            </strRef>
          </tx>
          <spPr>
            <a:ln w="22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cat>
            <numRef>
              <f>'Data'!$A$40:$A$53</f>
            </numRef>
          </cat>
          <val>
            <numRef>
              <f>'Data'!$B$40:$B$53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 commencing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cost (ZMW)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Data-quality issues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'Data'!C57</f>
            </strRef>
          </tx>
          <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spPr>
          <cat>
            <numRef>
              <f>'Data'!$A$58:$A$63</f>
            </numRef>
          </cat>
          <val>
            <numRef>
              <f>'Data'!$C$58:$C$63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Issue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41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7</row>
      <rowOff>0</rowOff>
    </from>
    <ext cx="41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41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24</row>
      <rowOff>0</rowOff>
    </from>
    <ext cx="414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41</row>
      <rowOff>0</rowOff>
    </from>
    <ext cx="414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</cols>
  <sheetData>
    <row r="1" ht="32" customHeight="1">
      <c r="A1" s="1" t="inlineStr">
        <is>
          <t>Fuel Transport Data Quality &amp; Analysis - Zambia</t>
        </is>
      </c>
    </row>
    <row r="2">
      <c r="A2" s="2" t="inlineStr">
        <is>
          <t>SYNTHETIC PORTFOLIO DATASET - fictional petroleum product movements. Not an ERB dataset and not a representation of the UPP model.</t>
        </is>
      </c>
    </row>
    <row r="4">
      <c r="A4" s="3" t="inlineStr">
        <is>
          <t>Shipments analysed</t>
        </is>
      </c>
      <c r="B4" s="4" t="n"/>
      <c r="D4" s="3" t="inlineStr">
        <is>
          <t>Volume moved (litres)</t>
        </is>
      </c>
      <c r="E4" s="4" t="n"/>
      <c r="G4" s="3" t="inlineStr">
        <is>
          <t>Avg transport cost (ZMW)</t>
        </is>
      </c>
      <c r="H4" s="4" t="n"/>
      <c r="J4" s="3" t="inlineStr">
        <is>
          <t>Data quality issues</t>
        </is>
      </c>
      <c r="K4" s="4" t="n"/>
    </row>
    <row r="5">
      <c r="A5" s="5" t="n">
        <v>353</v>
      </c>
      <c r="B5" s="6" t="n"/>
      <c r="D5" s="5" t="n">
        <v>11562000</v>
      </c>
      <c r="E5" s="6" t="n"/>
      <c r="G5" s="5" t="n">
        <v>39732</v>
      </c>
      <c r="H5" s="6" t="n"/>
      <c r="J5" s="5" t="n">
        <v>55</v>
      </c>
      <c r="K5" s="6" t="n"/>
    </row>
    <row r="6">
      <c r="A6" s="7" t="inlineStr">
        <is>
          <t>408 records received  |  353 analysed (86.5% clean)  |  55 records excluded from analysis and held for review  |  Source: data/cleaned_data.csv and data/issues_flagged.csv</t>
        </is>
      </c>
    </row>
    <row r="41" ht="20" customHeight="1">
      <c r="F41" s="8" t="inlineStr">
        <is>
          <t>Routes flagged for further investigation</t>
        </is>
      </c>
    </row>
    <row r="42">
      <c r="F42" s="9" t="inlineStr">
        <is>
          <t>Route</t>
        </is>
      </c>
      <c r="G42" s="10" t="n"/>
      <c r="H42" s="9" t="inlineStr">
        <is>
          <t>Cost/litre-km</t>
        </is>
      </c>
      <c r="I42" s="9" t="inlineStr">
        <is>
          <t>Vs network</t>
        </is>
      </c>
      <c r="J42" s="9" t="inlineStr">
        <is>
          <t>Anomalies</t>
        </is>
      </c>
    </row>
    <row r="43">
      <c r="F43" s="11" t="inlineStr">
        <is>
          <t>Lusaka -&gt; Chipata</t>
        </is>
      </c>
      <c r="G43" s="11" t="n"/>
      <c r="H43" s="12" t="n">
        <v>0.0050461116965226</v>
      </c>
      <c r="I43" s="13" t="n">
        <v>0.1388128294942705</v>
      </c>
      <c r="J43" s="14" t="n">
        <v>0</v>
      </c>
    </row>
    <row r="44">
      <c r="F44" s="11" t="inlineStr">
        <is>
          <t>Livingstone -&gt; Kazungula</t>
        </is>
      </c>
      <c r="G44" s="11" t="n"/>
      <c r="H44" s="12" t="n">
        <v>0.00496625</v>
      </c>
      <c r="I44" s="13" t="n">
        <v>0.1207895414549172</v>
      </c>
      <c r="J44" s="14" t="n">
        <v>0</v>
      </c>
    </row>
    <row r="45">
      <c r="F45" s="11" t="inlineStr">
        <is>
          <t>Lusaka -&gt; Kitwe</t>
        </is>
      </c>
      <c r="G45" s="11" t="n"/>
      <c r="H45" s="12" t="n">
        <v>0.0042498762813715</v>
      </c>
      <c r="I45" s="13" t="n">
        <v>-0.04088257968517439</v>
      </c>
      <c r="J45" s="14" t="n">
        <v>2</v>
      </c>
    </row>
    <row r="59" ht="20" customHeight="1">
      <c r="A59" s="8" t="inlineStr">
        <is>
          <t>Data-quality exception register</t>
        </is>
      </c>
    </row>
    <row r="60">
      <c r="A60" s="9" t="inlineStr">
        <is>
          <t>Record</t>
        </is>
      </c>
      <c r="B60" s="9" t="inlineStr">
        <is>
          <t>Shipment</t>
        </is>
      </c>
      <c r="C60" s="9" t="inlineStr">
        <is>
          <t>Route</t>
        </is>
      </c>
      <c r="D60" s="10" t="n"/>
      <c r="E60" s="9" t="inlineStr">
        <is>
          <t>Issue</t>
        </is>
      </c>
      <c r="F60" s="10" t="n"/>
      <c r="G60" s="9" t="inlineStr">
        <is>
          <t>Severity</t>
        </is>
      </c>
    </row>
    <row r="61">
      <c r="A61" s="15" t="n">
        <v>3</v>
      </c>
      <c r="B61" s="15" t="inlineStr">
        <is>
          <t>SHP-0003</t>
        </is>
      </c>
      <c r="C61" s="16" t="inlineStr">
        <is>
          <t>Kitwe -&gt; Kalulushi</t>
        </is>
      </c>
      <c r="D61" s="16" t="n"/>
      <c r="E61" s="16" t="inlineStr">
        <is>
          <t>Distance discrepancy</t>
        </is>
      </c>
      <c r="F61" s="16" t="n"/>
      <c r="G61" s="15" t="inlineStr">
        <is>
          <t>High</t>
        </is>
      </c>
    </row>
    <row r="62">
      <c r="A62" s="15" t="n">
        <v>6</v>
      </c>
      <c r="B62" s="15" t="inlineStr">
        <is>
          <t>SHP-0006</t>
        </is>
      </c>
      <c r="C62" s="16" t="inlineStr">
        <is>
          <t>Kasama -&gt; Serenje</t>
        </is>
      </c>
      <c r="D62" s="16" t="n"/>
      <c r="E62" s="16" t="inlineStr">
        <is>
          <t>Distance discrepancy</t>
        </is>
      </c>
      <c r="F62" s="16" t="n"/>
      <c r="G62" s="15" t="inlineStr">
        <is>
          <t>High</t>
        </is>
      </c>
    </row>
    <row r="63">
      <c r="A63" s="15" t="n">
        <v>29</v>
      </c>
      <c r="B63" s="15" t="inlineStr">
        <is>
          <t>SHP-0029</t>
        </is>
      </c>
      <c r="C63" s="16" t="inlineStr">
        <is>
          <t>Lusaka -&gt; Ndola</t>
        </is>
      </c>
      <c r="D63" s="16" t="n"/>
      <c r="E63" s="16" t="inlineStr">
        <is>
          <t>Distance discrepancy</t>
        </is>
      </c>
      <c r="F63" s="16" t="n"/>
      <c r="G63" s="15" t="inlineStr">
        <is>
          <t>High</t>
        </is>
      </c>
    </row>
    <row r="64">
      <c r="A64" s="15" t="n">
        <v>49</v>
      </c>
      <c r="B64" s="15" t="inlineStr">
        <is>
          <t>SHP-0049</t>
        </is>
      </c>
      <c r="C64" s="16" t="inlineStr">
        <is>
          <t>Ndola -&gt; Kasumbalesa</t>
        </is>
      </c>
      <c r="D64" s="16" t="n"/>
      <c r="E64" s="16" t="inlineStr">
        <is>
          <t>Distance discrepancy</t>
        </is>
      </c>
      <c r="F64" s="16" t="n"/>
      <c r="G64" s="15" t="inlineStr">
        <is>
          <t>High</t>
        </is>
      </c>
    </row>
    <row r="65">
      <c r="A65" s="15" t="n">
        <v>96</v>
      </c>
      <c r="B65" s="15" t="inlineStr">
        <is>
          <t>SHP-0096</t>
        </is>
      </c>
      <c r="C65" s="16" t="inlineStr">
        <is>
          <t>Ndola -&gt; Solwezi</t>
        </is>
      </c>
      <c r="D65" s="16" t="n"/>
      <c r="E65" s="16" t="inlineStr">
        <is>
          <t>Distance discrepancy</t>
        </is>
      </c>
      <c r="F65" s="16" t="n"/>
      <c r="G65" s="15" t="inlineStr">
        <is>
          <t>High</t>
        </is>
      </c>
    </row>
    <row r="66">
      <c r="A66" s="15" t="n">
        <v>101</v>
      </c>
      <c r="B66" s="15" t="inlineStr">
        <is>
          <t>SHP-0101</t>
        </is>
      </c>
      <c r="C66" s="16" t="inlineStr">
        <is>
          <t>Kitwe -&gt; Chingola</t>
        </is>
      </c>
      <c r="D66" s="16" t="n"/>
      <c r="E66" s="16" t="inlineStr">
        <is>
          <t>Distance discrepancy</t>
        </is>
      </c>
      <c r="F66" s="16" t="n"/>
      <c r="G66" s="15" t="inlineStr">
        <is>
          <t>High</t>
        </is>
      </c>
    </row>
    <row r="67">
      <c r="A67" s="15" t="n">
        <v>104</v>
      </c>
      <c r="B67" s="15" t="inlineStr">
        <is>
          <t>SHP-0104</t>
        </is>
      </c>
      <c r="C67" s="16" t="inlineStr">
        <is>
          <t>Kasama -&gt; Mbala</t>
        </is>
      </c>
      <c r="D67" s="16" t="n"/>
      <c r="E67" s="16" t="inlineStr">
        <is>
          <t>Distance discrepancy</t>
        </is>
      </c>
      <c r="F67" s="16" t="n"/>
      <c r="G67" s="15" t="inlineStr">
        <is>
          <t>High</t>
        </is>
      </c>
    </row>
    <row r="68">
      <c r="A68" s="15" t="n">
        <v>108</v>
      </c>
      <c r="B68" s="15" t="inlineStr">
        <is>
          <t>SHP-0108</t>
        </is>
      </c>
      <c r="C68" s="16" t="inlineStr">
        <is>
          <t>Lusaka -&gt; Mongu</t>
        </is>
      </c>
      <c r="D68" s="16" t="n"/>
      <c r="E68" s="16" t="inlineStr">
        <is>
          <t>Distance discrepancy</t>
        </is>
      </c>
      <c r="F68" s="16" t="n"/>
      <c r="G68" s="15" t="inlineStr">
        <is>
          <t>High</t>
        </is>
      </c>
    </row>
    <row r="69">
      <c r="A69" s="15" t="n">
        <v>129</v>
      </c>
      <c r="B69" s="15" t="inlineStr">
        <is>
          <t>SHP-0129</t>
        </is>
      </c>
      <c r="C69" s="16" t="inlineStr">
        <is>
          <t>Lusaka -&gt; Livingstone</t>
        </is>
      </c>
      <c r="D69" s="16" t="n"/>
      <c r="E69" s="16" t="inlineStr">
        <is>
          <t>Distance discrepancy</t>
        </is>
      </c>
      <c r="F69" s="16" t="n"/>
      <c r="G69" s="15" t="inlineStr">
        <is>
          <t>High</t>
        </is>
      </c>
    </row>
    <row r="70">
      <c r="A70" s="15" t="n">
        <v>136</v>
      </c>
      <c r="B70" s="15" t="inlineStr">
        <is>
          <t>SHP-0136</t>
        </is>
      </c>
      <c r="C70" s="16" t="inlineStr">
        <is>
          <t>Lusaka -&gt; Kabwe</t>
        </is>
      </c>
      <c r="D70" s="16" t="n"/>
      <c r="E70" s="16" t="inlineStr">
        <is>
          <t>Distance discrepancy</t>
        </is>
      </c>
      <c r="F70" s="16" t="n"/>
      <c r="G70" s="15" t="inlineStr">
        <is>
          <t>High</t>
        </is>
      </c>
    </row>
    <row r="71">
      <c r="A71" s="15" t="n">
        <v>207</v>
      </c>
      <c r="B71" s="15" t="inlineStr">
        <is>
          <t>SHP-0207</t>
        </is>
      </c>
      <c r="C71" s="16" t="inlineStr">
        <is>
          <t>Lusaka -&gt; Livingstone</t>
        </is>
      </c>
      <c r="D71" s="16" t="n"/>
      <c r="E71" s="16" t="inlineStr">
        <is>
          <t>Distance discrepancy</t>
        </is>
      </c>
      <c r="F71" s="16" t="n"/>
      <c r="G71" s="15" t="inlineStr">
        <is>
          <t>High</t>
        </is>
      </c>
    </row>
    <row r="72">
      <c r="A72" s="15" t="n">
        <v>251</v>
      </c>
      <c r="B72" s="15" t="inlineStr">
        <is>
          <t>SHP-0251</t>
        </is>
      </c>
      <c r="C72" s="16" t="inlineStr">
        <is>
          <t>Ndola -&gt; Solwezi</t>
        </is>
      </c>
      <c r="D72" s="16" t="n"/>
      <c r="E72" s="16" t="inlineStr">
        <is>
          <t>Distance discrepancy</t>
        </is>
      </c>
      <c r="F72" s="16" t="n"/>
      <c r="G72" s="15" t="inlineStr">
        <is>
          <t>High</t>
        </is>
      </c>
    </row>
    <row r="73">
      <c r="A73" s="15" t="n">
        <v>272</v>
      </c>
      <c r="B73" s="15" t="inlineStr">
        <is>
          <t>SHP-0272</t>
        </is>
      </c>
      <c r="C73" s="16" t="inlineStr">
        <is>
          <t>Lusaka -&gt; Ndola</t>
        </is>
      </c>
      <c r="D73" s="16" t="n"/>
      <c r="E73" s="16" t="inlineStr">
        <is>
          <t>Distance discrepancy</t>
        </is>
      </c>
      <c r="F73" s="16" t="n"/>
      <c r="G73" s="15" t="inlineStr">
        <is>
          <t>High</t>
        </is>
      </c>
    </row>
    <row r="74">
      <c r="A74" s="15" t="n">
        <v>301</v>
      </c>
      <c r="B74" s="15" t="inlineStr">
        <is>
          <t>SHP-0301</t>
        </is>
      </c>
      <c r="C74" s="16" t="inlineStr">
        <is>
          <t>Kabwe -&gt; Mkushi</t>
        </is>
      </c>
      <c r="D74" s="16" t="n"/>
      <c r="E74" s="16" t="inlineStr">
        <is>
          <t>Distance discrepancy</t>
        </is>
      </c>
      <c r="F74" s="16" t="n"/>
      <c r="G74" s="15" t="inlineStr">
        <is>
          <t>High</t>
        </is>
      </c>
    </row>
    <row r="75">
      <c r="A75" s="15" t="n">
        <v>326</v>
      </c>
      <c r="B75" s="15" t="inlineStr">
        <is>
          <t>SHP-0326</t>
        </is>
      </c>
      <c r="C75" s="16" t="inlineStr">
        <is>
          <t>Ndola -&gt; Solwezi</t>
        </is>
      </c>
      <c r="D75" s="16" t="n"/>
      <c r="E75" s="16" t="inlineStr">
        <is>
          <t>Distance discrepancy</t>
        </is>
      </c>
      <c r="F75" s="16" t="n"/>
      <c r="G75" s="15" t="inlineStr">
        <is>
          <t>High</t>
        </is>
      </c>
    </row>
    <row r="76">
      <c r="A76" s="15" t="n">
        <v>367</v>
      </c>
      <c r="B76" s="15" t="inlineStr">
        <is>
          <t>SHP-0367</t>
        </is>
      </c>
      <c r="C76" s="16" t="inlineStr">
        <is>
          <t>Kabwe -&gt; Mkushi</t>
        </is>
      </c>
      <c r="D76" s="16" t="n"/>
      <c r="E76" s="16" t="inlineStr">
        <is>
          <t>Distance discrepancy</t>
        </is>
      </c>
      <c r="F76" s="16" t="n"/>
      <c r="G76" s="15" t="inlineStr">
        <is>
          <t>High</t>
        </is>
      </c>
    </row>
    <row r="77">
      <c r="A77" s="15" t="n">
        <v>384</v>
      </c>
      <c r="B77" s="15" t="inlineStr">
        <is>
          <t>SHP-0384</t>
        </is>
      </c>
      <c r="C77" s="16" t="inlineStr">
        <is>
          <t>Lusaka -&gt; Petauke</t>
        </is>
      </c>
      <c r="D77" s="16" t="n"/>
      <c r="E77" s="16" t="inlineStr">
        <is>
          <t>Distance discrepancy</t>
        </is>
      </c>
      <c r="F77" s="16" t="n"/>
      <c r="G77" s="15" t="inlineStr">
        <is>
          <t>High</t>
        </is>
      </c>
    </row>
    <row r="78">
      <c r="A78" s="14" t="n">
        <v>404</v>
      </c>
      <c r="B78" s="14" t="inlineStr">
        <is>
          <t>SHP-0040</t>
        </is>
      </c>
      <c r="C78" s="11" t="inlineStr">
        <is>
          <t>Ndola -&gt; Solwezi</t>
        </is>
      </c>
      <c r="D78" s="11" t="n"/>
      <c r="E78" s="11" t="inlineStr">
        <is>
          <t>Duplicate record</t>
        </is>
      </c>
      <c r="F78" s="11" t="n"/>
      <c r="G78" s="14" t="inlineStr">
        <is>
          <t>Medium</t>
        </is>
      </c>
    </row>
    <row r="79">
      <c r="A79" s="14" t="n">
        <v>406</v>
      </c>
      <c r="B79" s="14" t="inlineStr">
        <is>
          <t>SHP-0063</t>
        </is>
      </c>
      <c r="C79" s="11" t="inlineStr">
        <is>
          <t>Ndola -&gt; Chingola</t>
        </is>
      </c>
      <c r="D79" s="11" t="n"/>
      <c r="E79" s="11" t="inlineStr">
        <is>
          <t>Duplicate record</t>
        </is>
      </c>
      <c r="F79" s="11" t="n"/>
      <c r="G79" s="14" t="inlineStr">
        <is>
          <t>Medium</t>
        </is>
      </c>
    </row>
    <row r="80">
      <c r="A80" s="14" t="n">
        <v>402</v>
      </c>
      <c r="B80" s="14" t="inlineStr">
        <is>
          <t>SHP-0097</t>
        </is>
      </c>
      <c r="C80" s="11" t="inlineStr">
        <is>
          <t>Lusaka -&gt; Mansa</t>
        </is>
      </c>
      <c r="D80" s="11" t="n"/>
      <c r="E80" s="11" t="inlineStr">
        <is>
          <t>Duplicate record</t>
        </is>
      </c>
      <c r="F80" s="11" t="n"/>
      <c r="G80" s="14" t="inlineStr">
        <is>
          <t>Medium</t>
        </is>
      </c>
    </row>
    <row r="81">
      <c r="A81" s="14" t="n">
        <v>403</v>
      </c>
      <c r="B81" s="14" t="inlineStr">
        <is>
          <t>SHP-0178</t>
        </is>
      </c>
      <c r="C81" s="11" t="inlineStr">
        <is>
          <t>Kasama -&gt; Serenje</t>
        </is>
      </c>
      <c r="D81" s="11" t="n"/>
      <c r="E81" s="11" t="inlineStr">
        <is>
          <t>Duplicate record</t>
        </is>
      </c>
      <c r="F81" s="11" t="n"/>
      <c r="G81" s="14" t="inlineStr">
        <is>
          <t>Medium</t>
        </is>
      </c>
    </row>
    <row r="82">
      <c r="A82" s="14" t="n">
        <v>407</v>
      </c>
      <c r="B82" s="14" t="inlineStr">
        <is>
          <t>SHP-0235</t>
        </is>
      </c>
      <c r="C82" s="11" t="inlineStr">
        <is>
          <t>Kasama -&gt; Mpika</t>
        </is>
      </c>
      <c r="D82" s="11" t="n"/>
      <c r="E82" s="11" t="inlineStr">
        <is>
          <t>Duplicate record</t>
        </is>
      </c>
      <c r="F82" s="11" t="n"/>
      <c r="G82" s="14" t="inlineStr">
        <is>
          <t>Medium</t>
        </is>
      </c>
    </row>
    <row r="83">
      <c r="A83" s="14" t="n">
        <v>408</v>
      </c>
      <c r="B83" s="14" t="inlineStr">
        <is>
          <t>SHP-0277</t>
        </is>
      </c>
      <c r="C83" s="11" t="inlineStr">
        <is>
          <t>Lusaka -&gt; Chipata</t>
        </is>
      </c>
      <c r="D83" s="11" t="n"/>
      <c r="E83" s="11" t="inlineStr">
        <is>
          <t>Duplicate record</t>
        </is>
      </c>
      <c r="F83" s="11" t="n"/>
      <c r="G83" s="14" t="inlineStr">
        <is>
          <t>Medium</t>
        </is>
      </c>
    </row>
    <row r="84">
      <c r="A84" s="14" t="n">
        <v>401</v>
      </c>
      <c r="B84" s="14" t="inlineStr">
        <is>
          <t>SHP-0336</t>
        </is>
      </c>
      <c r="C84" s="11" t="inlineStr">
        <is>
          <t>Ndola -&gt; Mufulira</t>
        </is>
      </c>
      <c r="D84" s="11" t="n"/>
      <c r="E84" s="11" t="inlineStr">
        <is>
          <t>Duplicate record</t>
        </is>
      </c>
      <c r="F84" s="11" t="n"/>
      <c r="G84" s="14" t="inlineStr">
        <is>
          <t>Medium</t>
        </is>
      </c>
    </row>
    <row r="85">
      <c r="A85" s="14" t="n">
        <v>405</v>
      </c>
      <c r="B85" s="14" t="inlineStr">
        <is>
          <t>SHP-0380</t>
        </is>
      </c>
      <c r="C85" s="11" t="inlineStr">
        <is>
          <t>Ndola -&gt; Kapiri Mposhi</t>
        </is>
      </c>
      <c r="D85" s="11" t="n"/>
      <c r="E85" s="11" t="inlineStr">
        <is>
          <t>Duplicate record</t>
        </is>
      </c>
      <c r="F85" s="11" t="n"/>
      <c r="G85" s="14" t="inlineStr">
        <is>
          <t>Medium</t>
        </is>
      </c>
    </row>
    <row r="86">
      <c r="A86" s="14" t="n">
        <v>17</v>
      </c>
      <c r="B86" s="14" t="inlineStr">
        <is>
          <t>SHP-0017</t>
        </is>
      </c>
      <c r="C86" s="11" t="inlineStr">
        <is>
          <t>Ndola -&gt; Chingola</t>
        </is>
      </c>
      <c r="D86" s="11" t="n"/>
      <c r="E86" s="11" t="inlineStr">
        <is>
          <t>High-cost anomaly</t>
        </is>
      </c>
      <c r="F86" s="11" t="n"/>
      <c r="G86" s="14" t="inlineStr">
        <is>
          <t>Medium</t>
        </is>
      </c>
    </row>
    <row r="87">
      <c r="A87" s="14" t="n">
        <v>43</v>
      </c>
      <c r="B87" s="14" t="inlineStr">
        <is>
          <t>SHP-0043</t>
        </is>
      </c>
      <c r="C87" s="11" t="inlineStr">
        <is>
          <t>Ndola -&gt; Kasumbalesa</t>
        </is>
      </c>
      <c r="D87" s="11" t="n"/>
      <c r="E87" s="11" t="inlineStr">
        <is>
          <t>High-cost anomaly</t>
        </is>
      </c>
      <c r="F87" s="11" t="n"/>
      <c r="G87" s="14" t="inlineStr">
        <is>
          <t>Medium</t>
        </is>
      </c>
    </row>
    <row r="88">
      <c r="A88" s="14" t="n">
        <v>131</v>
      </c>
      <c r="B88" s="14" t="inlineStr">
        <is>
          <t>SHP-0131</t>
        </is>
      </c>
      <c r="C88" s="11" t="inlineStr">
        <is>
          <t>Lusaka -&gt; Ndola</t>
        </is>
      </c>
      <c r="D88" s="11" t="n"/>
      <c r="E88" s="11" t="inlineStr">
        <is>
          <t>High-cost anomaly</t>
        </is>
      </c>
      <c r="F88" s="11" t="n"/>
      <c r="G88" s="14" t="inlineStr">
        <is>
          <t>Medium</t>
        </is>
      </c>
    </row>
    <row r="89">
      <c r="A89" s="14" t="n">
        <v>162</v>
      </c>
      <c r="B89" s="14" t="inlineStr">
        <is>
          <t>SHP-0162</t>
        </is>
      </c>
      <c r="C89" s="11" t="inlineStr">
        <is>
          <t>Kitwe -&gt; Chingola</t>
        </is>
      </c>
      <c r="D89" s="11" t="n"/>
      <c r="E89" s="11" t="inlineStr">
        <is>
          <t>High-cost anomaly</t>
        </is>
      </c>
      <c r="F89" s="11" t="n"/>
      <c r="G89" s="14" t="inlineStr">
        <is>
          <t>Medium</t>
        </is>
      </c>
    </row>
    <row r="90">
      <c r="A90" s="14" t="n">
        <v>192</v>
      </c>
      <c r="B90" s="14" t="inlineStr">
        <is>
          <t>SHP-0192</t>
        </is>
      </c>
      <c r="C90" s="11" t="inlineStr">
        <is>
          <t>Lusaka -&gt; Kitwe</t>
        </is>
      </c>
      <c r="D90" s="11" t="n"/>
      <c r="E90" s="11" t="inlineStr">
        <is>
          <t>High-cost anomaly</t>
        </is>
      </c>
      <c r="F90" s="11" t="n"/>
      <c r="G90" s="14" t="inlineStr">
        <is>
          <t>Medium</t>
        </is>
      </c>
    </row>
    <row r="91">
      <c r="A91" s="14" t="n">
        <v>250</v>
      </c>
      <c r="B91" s="14" t="inlineStr">
        <is>
          <t>SHP-0250</t>
        </is>
      </c>
      <c r="C91" s="11" t="inlineStr">
        <is>
          <t>Lusaka -&gt; Solwezi</t>
        </is>
      </c>
      <c r="D91" s="11" t="n"/>
      <c r="E91" s="11" t="inlineStr">
        <is>
          <t>High-cost anomaly</t>
        </is>
      </c>
      <c r="F91" s="11" t="n"/>
      <c r="G91" s="14" t="inlineStr">
        <is>
          <t>Medium</t>
        </is>
      </c>
    </row>
    <row r="92">
      <c r="A92" s="14" t="n">
        <v>283</v>
      </c>
      <c r="B92" s="14" t="inlineStr">
        <is>
          <t>SHP-0283</t>
        </is>
      </c>
      <c r="C92" s="11" t="inlineStr">
        <is>
          <t>Lusaka -&gt; Kitwe</t>
        </is>
      </c>
      <c r="D92" s="11" t="n"/>
      <c r="E92" s="11" t="inlineStr">
        <is>
          <t>High-cost anomaly</t>
        </is>
      </c>
      <c r="F92" s="11" t="n"/>
      <c r="G92" s="14" t="inlineStr">
        <is>
          <t>Medium</t>
        </is>
      </c>
    </row>
    <row r="93">
      <c r="A93" s="14" t="n">
        <v>379</v>
      </c>
      <c r="B93" s="14" t="inlineStr">
        <is>
          <t>SHP-0379</t>
        </is>
      </c>
      <c r="C93" s="11" t="inlineStr">
        <is>
          <t>Lusaka -&gt; Mansa</t>
        </is>
      </c>
      <c r="D93" s="11" t="n"/>
      <c r="E93" s="11" t="inlineStr">
        <is>
          <t>High-cost anomaly</t>
        </is>
      </c>
      <c r="F93" s="11" t="n"/>
      <c r="G93" s="14" t="inlineStr">
        <is>
          <t>Medium</t>
        </is>
      </c>
    </row>
    <row r="94">
      <c r="A94" s="14" t="n">
        <v>382</v>
      </c>
      <c r="B94" s="14" t="inlineStr">
        <is>
          <t>SHP-0382</t>
        </is>
      </c>
      <c r="C94" s="11" t="inlineStr">
        <is>
          <t>Kasama -&gt; Mpika</t>
        </is>
      </c>
      <c r="D94" s="11" t="n"/>
      <c r="E94" s="11" t="inlineStr">
        <is>
          <t>High-cost anomaly</t>
        </is>
      </c>
      <c r="F94" s="11" t="n"/>
      <c r="G94" s="14" t="inlineStr">
        <is>
          <t>Medium</t>
        </is>
      </c>
    </row>
    <row r="95">
      <c r="A95" s="15" t="n">
        <v>56</v>
      </c>
      <c r="B95" s="15" t="inlineStr">
        <is>
          <t>SHP-0056</t>
        </is>
      </c>
      <c r="C95" s="16" t="inlineStr">
        <is>
          <t>Kabwe -&gt; Mkushi</t>
        </is>
      </c>
      <c r="D95" s="16" t="n"/>
      <c r="E95" s="16" t="inlineStr">
        <is>
          <t>Invalid volume</t>
        </is>
      </c>
      <c r="F95" s="16" t="n"/>
      <c r="G95" s="15" t="inlineStr">
        <is>
          <t>High</t>
        </is>
      </c>
    </row>
    <row r="96">
      <c r="A96" s="15" t="n">
        <v>183</v>
      </c>
      <c r="B96" s="15" t="inlineStr">
        <is>
          <t>SHP-0183</t>
        </is>
      </c>
      <c r="C96" s="16" t="inlineStr">
        <is>
          <t>Ndola -&gt; Kitwe</t>
        </is>
      </c>
      <c r="D96" s="16" t="n"/>
      <c r="E96" s="16" t="inlineStr">
        <is>
          <t>Invalid volume</t>
        </is>
      </c>
      <c r="F96" s="16" t="n"/>
      <c r="G96" s="15" t="inlineStr">
        <is>
          <t>High</t>
        </is>
      </c>
    </row>
    <row r="97">
      <c r="A97" s="15" t="n">
        <v>214</v>
      </c>
      <c r="B97" s="15" t="inlineStr">
        <is>
          <t>SHP-0214</t>
        </is>
      </c>
      <c r="C97" s="16" t="inlineStr">
        <is>
          <t>Kabwe -&gt; Serenje</t>
        </is>
      </c>
      <c r="D97" s="16" t="n"/>
      <c r="E97" s="16" t="inlineStr">
        <is>
          <t>Invalid volume</t>
        </is>
      </c>
      <c r="F97" s="16" t="n"/>
      <c r="G97" s="15" t="inlineStr">
        <is>
          <t>High</t>
        </is>
      </c>
    </row>
    <row r="98">
      <c r="A98" s="15" t="n">
        <v>330</v>
      </c>
      <c r="B98" s="15" t="inlineStr">
        <is>
          <t>SHP-0330</t>
        </is>
      </c>
      <c r="C98" s="16" t="inlineStr">
        <is>
          <t>Lusaka -&gt; Mongu</t>
        </is>
      </c>
      <c r="D98" s="16" t="n"/>
      <c r="E98" s="16" t="inlineStr">
        <is>
          <t>Invalid volume</t>
        </is>
      </c>
      <c r="F98" s="16" t="n"/>
      <c r="G98" s="15" t="inlineStr">
        <is>
          <t>High</t>
        </is>
      </c>
    </row>
    <row r="99">
      <c r="A99" s="15" t="n">
        <v>71</v>
      </c>
      <c r="B99" s="15" t="inlineStr">
        <is>
          <t>SHP-0071</t>
        </is>
      </c>
      <c r="C99" s="16" t="inlineStr">
        <is>
          <t>Lusaka -&gt; Kitwe</t>
        </is>
      </c>
      <c r="D99" s="16" t="n"/>
      <c r="E99" s="16" t="inlineStr">
        <is>
          <t>Missing company/depot</t>
        </is>
      </c>
      <c r="F99" s="16" t="n"/>
      <c r="G99" s="15" t="inlineStr">
        <is>
          <t>High</t>
        </is>
      </c>
    </row>
    <row r="100">
      <c r="A100" s="15" t="n">
        <v>74</v>
      </c>
      <c r="B100" s="15" t="inlineStr">
        <is>
          <t>SHP-0074</t>
        </is>
      </c>
      <c r="C100" s="16" t="inlineStr">
        <is>
          <t xml:space="preserve"> -&gt; Kitwe</t>
        </is>
      </c>
      <c r="D100" s="16" t="n"/>
      <c r="E100" s="16" t="inlineStr">
        <is>
          <t>Missing company/depot</t>
        </is>
      </c>
      <c r="F100" s="16" t="n"/>
      <c r="G100" s="15" t="inlineStr">
        <is>
          <t>High</t>
        </is>
      </c>
    </row>
    <row r="101">
      <c r="A101" s="15" t="n">
        <v>81</v>
      </c>
      <c r="B101" s="15" t="inlineStr">
        <is>
          <t>SHP-0081</t>
        </is>
      </c>
      <c r="C101" s="16" t="inlineStr">
        <is>
          <t>Ndola -&gt; Solwezi</t>
        </is>
      </c>
      <c r="D101" s="16" t="n"/>
      <c r="E101" s="16" t="inlineStr">
        <is>
          <t>Missing company/depot</t>
        </is>
      </c>
      <c r="F101" s="16" t="n"/>
      <c r="G101" s="15" t="inlineStr">
        <is>
          <t>High</t>
        </is>
      </c>
    </row>
    <row r="102">
      <c r="A102" s="15" t="n">
        <v>121</v>
      </c>
      <c r="B102" s="15" t="inlineStr">
        <is>
          <t>SHP-0121</t>
        </is>
      </c>
      <c r="C102" s="16" t="inlineStr">
        <is>
          <t xml:space="preserve"> -&gt; Chingola</t>
        </is>
      </c>
      <c r="D102" s="16" t="n"/>
      <c r="E102" s="16" t="inlineStr">
        <is>
          <t>Missing company/depot</t>
        </is>
      </c>
      <c r="F102" s="16" t="n"/>
      <c r="G102" s="15" t="inlineStr">
        <is>
          <t>High</t>
        </is>
      </c>
    </row>
    <row r="103">
      <c r="A103" s="15" t="n">
        <v>197</v>
      </c>
      <c r="B103" s="15" t="inlineStr">
        <is>
          <t>SHP-0197</t>
        </is>
      </c>
      <c r="C103" s="16" t="inlineStr">
        <is>
          <t xml:space="preserve"> -&gt; Mufulira</t>
        </is>
      </c>
      <c r="D103" s="16" t="n"/>
      <c r="E103" s="16" t="inlineStr">
        <is>
          <t>Missing company/depot</t>
        </is>
      </c>
      <c r="F103" s="16" t="n"/>
      <c r="G103" s="15" t="inlineStr">
        <is>
          <t>High</t>
        </is>
      </c>
    </row>
    <row r="104">
      <c r="A104" s="15" t="n">
        <v>202</v>
      </c>
      <c r="B104" s="15" t="inlineStr">
        <is>
          <t>SHP-0202</t>
        </is>
      </c>
      <c r="C104" s="16" t="inlineStr">
        <is>
          <t>Kasama -&gt; Mbala</t>
        </is>
      </c>
      <c r="D104" s="16" t="n"/>
      <c r="E104" s="16" t="inlineStr">
        <is>
          <t>Missing company/depot</t>
        </is>
      </c>
      <c r="F104" s="16" t="n"/>
      <c r="G104" s="15" t="inlineStr">
        <is>
          <t>High</t>
        </is>
      </c>
    </row>
    <row r="105">
      <c r="A105" s="15" t="n">
        <v>24</v>
      </c>
      <c r="B105" s="15" t="inlineStr">
        <is>
          <t>SHP-0024</t>
        </is>
      </c>
      <c r="C105" s="16" t="inlineStr">
        <is>
          <t>Kitwe -&gt; Chingola</t>
        </is>
      </c>
      <c r="D105" s="16" t="n"/>
      <c r="E105" s="16" t="inlineStr">
        <is>
          <t>Missing distance</t>
        </is>
      </c>
      <c r="F105" s="16" t="n"/>
      <c r="G105" s="15" t="inlineStr">
        <is>
          <t>High</t>
        </is>
      </c>
    </row>
    <row r="106">
      <c r="A106" s="15" t="n">
        <v>62</v>
      </c>
      <c r="B106" s="15" t="inlineStr">
        <is>
          <t>SHP-0062</t>
        </is>
      </c>
      <c r="C106" s="16" t="inlineStr">
        <is>
          <t>Lusaka -&gt; Petauke</t>
        </is>
      </c>
      <c r="D106" s="16" t="n"/>
      <c r="E106" s="16" t="inlineStr">
        <is>
          <t>Missing distance</t>
        </is>
      </c>
      <c r="F106" s="16" t="n"/>
      <c r="G106" s="15" t="inlineStr">
        <is>
          <t>High</t>
        </is>
      </c>
    </row>
    <row r="107">
      <c r="A107" s="15" t="n">
        <v>99</v>
      </c>
      <c r="B107" s="15" t="inlineStr">
        <is>
          <t>SHP-0099</t>
        </is>
      </c>
      <c r="C107" s="16" t="inlineStr">
        <is>
          <t>Lusaka -&gt; Livingstone</t>
        </is>
      </c>
      <c r="D107" s="16" t="n"/>
      <c r="E107" s="16" t="inlineStr">
        <is>
          <t>Missing distance</t>
        </is>
      </c>
      <c r="F107" s="16" t="n"/>
      <c r="G107" s="15" t="inlineStr">
        <is>
          <t>High</t>
        </is>
      </c>
    </row>
    <row r="108">
      <c r="A108" s="15" t="n">
        <v>124</v>
      </c>
      <c r="B108" s="15" t="inlineStr">
        <is>
          <t>SHP-0124</t>
        </is>
      </c>
      <c r="C108" s="16" t="inlineStr">
        <is>
          <t>Lusaka -&gt; Solwezi</t>
        </is>
      </c>
      <c r="D108" s="16" t="n"/>
      <c r="E108" s="16" t="inlineStr">
        <is>
          <t>Missing distance</t>
        </is>
      </c>
      <c r="F108" s="16" t="n"/>
      <c r="G108" s="15" t="inlineStr">
        <is>
          <t>High</t>
        </is>
      </c>
    </row>
    <row r="109">
      <c r="A109" s="15" t="n">
        <v>150</v>
      </c>
      <c r="B109" s="15" t="inlineStr">
        <is>
          <t>SHP-0150</t>
        </is>
      </c>
      <c r="C109" s="16" t="inlineStr">
        <is>
          <t>Lusaka -&gt; Kabwe</t>
        </is>
      </c>
      <c r="D109" s="16" t="n"/>
      <c r="E109" s="16" t="inlineStr">
        <is>
          <t>Missing distance</t>
        </is>
      </c>
      <c r="F109" s="16" t="n"/>
      <c r="G109" s="15" t="inlineStr">
        <is>
          <t>High</t>
        </is>
      </c>
    </row>
    <row r="110">
      <c r="A110" s="15" t="n">
        <v>188</v>
      </c>
      <c r="B110" s="15" t="inlineStr">
        <is>
          <t>SHP-0188</t>
        </is>
      </c>
      <c r="C110" s="16" t="inlineStr">
        <is>
          <t>Lusaka -&gt; Choma</t>
        </is>
      </c>
      <c r="D110" s="16" t="n"/>
      <c r="E110" s="16" t="inlineStr">
        <is>
          <t>Missing distance</t>
        </is>
      </c>
      <c r="F110" s="16" t="n"/>
      <c r="G110" s="15" t="inlineStr">
        <is>
          <t>High</t>
        </is>
      </c>
    </row>
    <row r="111">
      <c r="A111" s="15" t="n">
        <v>223</v>
      </c>
      <c r="B111" s="15" t="inlineStr">
        <is>
          <t>SHP-0223</t>
        </is>
      </c>
      <c r="C111" s="16" t="inlineStr">
        <is>
          <t>Ndola -&gt; Solwezi</t>
        </is>
      </c>
      <c r="D111" s="16" t="n"/>
      <c r="E111" s="16" t="inlineStr">
        <is>
          <t>Missing distance</t>
        </is>
      </c>
      <c r="F111" s="16" t="n"/>
      <c r="G111" s="15" t="inlineStr">
        <is>
          <t>High</t>
        </is>
      </c>
    </row>
    <row r="112">
      <c r="A112" s="15" t="n">
        <v>227</v>
      </c>
      <c r="B112" s="15" t="inlineStr">
        <is>
          <t>SHP-0227</t>
        </is>
      </c>
      <c r="C112" s="16" t="inlineStr">
        <is>
          <t>Lusaka -&gt; Kabwe</t>
        </is>
      </c>
      <c r="D112" s="16" t="n"/>
      <c r="E112" s="16" t="inlineStr">
        <is>
          <t>Missing distance</t>
        </is>
      </c>
      <c r="F112" s="16" t="n"/>
      <c r="G112" s="15" t="inlineStr">
        <is>
          <t>High</t>
        </is>
      </c>
    </row>
    <row r="113">
      <c r="A113" s="15" t="n">
        <v>335</v>
      </c>
      <c r="B113" s="15" t="inlineStr">
        <is>
          <t>SHP-0335</t>
        </is>
      </c>
      <c r="C113" s="16" t="inlineStr">
        <is>
          <t>Lusaka -&gt; Livingstone</t>
        </is>
      </c>
      <c r="D113" s="16" t="n"/>
      <c r="E113" s="16" t="inlineStr">
        <is>
          <t>Missing distance</t>
        </is>
      </c>
      <c r="F113" s="16" t="n"/>
      <c r="G113" s="15" t="inlineStr">
        <is>
          <t>High</t>
        </is>
      </c>
    </row>
    <row r="114">
      <c r="A114" s="15" t="n">
        <v>347</v>
      </c>
      <c r="B114" s="15" t="inlineStr">
        <is>
          <t>SHP-0347</t>
        </is>
      </c>
      <c r="C114" s="16" t="inlineStr">
        <is>
          <t>Kasama -&gt; Mpika</t>
        </is>
      </c>
      <c r="D114" s="16" t="n"/>
      <c r="E114" s="16" t="inlineStr">
        <is>
          <t>Missing distance</t>
        </is>
      </c>
      <c r="F114" s="16" t="n"/>
      <c r="G114" s="15" t="inlineStr">
        <is>
          <t>High</t>
        </is>
      </c>
    </row>
    <row r="115">
      <c r="A115" s="15" t="n">
        <v>398</v>
      </c>
      <c r="B115" s="15" t="inlineStr">
        <is>
          <t>SHP-0398</t>
        </is>
      </c>
      <c r="C115" s="16" t="inlineStr">
        <is>
          <t>Lusaka -&gt; Mongu</t>
        </is>
      </c>
      <c r="D115" s="16" t="n"/>
      <c r="E115" s="16" t="inlineStr">
        <is>
          <t>Missing distance</t>
        </is>
      </c>
      <c r="F115" s="16" t="n"/>
      <c r="G115" s="15" t="inlineStr">
        <is>
          <t>High</t>
        </is>
      </c>
    </row>
    <row r="117" ht="20" customHeight="1">
      <c r="A117" s="8" t="inlineStr">
        <is>
          <t>Method and sources</t>
        </is>
      </c>
    </row>
    <row r="118">
      <c r="A118" s="17" t="inlineStr">
        <is>
          <t>Collection, cleaning, validation and flagging: Python/pandas - src/data_cleaning.py. Validation rules and counts: reports/data_quality_report.md.</t>
        </is>
      </c>
    </row>
    <row r="119">
      <c r="A119" s="17" t="inlineStr">
        <is>
          <t>SQL analysis: SQLite - sql/analysis_queries.sql, with results in sql/query_results.md. Route cost analysis: src/analysis.py and reports/analytical_summary.md.</t>
        </is>
      </c>
    </row>
    <row r="120">
      <c r="A120" s="17" t="inlineStr">
        <is>
          <t>Severity: High = hard validation failure (missing, invalid or out-of-tolerance value); Medium = duplicate or statistical flag requiring review.</t>
        </is>
      </c>
    </row>
    <row r="121">
      <c r="A121" s="17" t="inlineStr">
        <is>
          <t>Charts are driven by the Data sheet; refresh by re-running dashboard/build_dashboard.py after any data refresh.</t>
        </is>
      </c>
    </row>
  </sheetData>
  <mergeCells count="134">
    <mergeCell ref="C62:D62"/>
    <mergeCell ref="E62:F62"/>
    <mergeCell ref="C98:D98"/>
    <mergeCell ref="E71:F71"/>
    <mergeCell ref="E111:F111"/>
    <mergeCell ref="F41:K41"/>
    <mergeCell ref="C107:D107"/>
    <mergeCell ref="C89:D89"/>
    <mergeCell ref="C64:D64"/>
    <mergeCell ref="C79:D79"/>
    <mergeCell ref="E64:F64"/>
    <mergeCell ref="C73:D73"/>
    <mergeCell ref="E79:F79"/>
    <mergeCell ref="A121:M121"/>
    <mergeCell ref="E73:F73"/>
    <mergeCell ref="E87:F87"/>
    <mergeCell ref="C63:D63"/>
    <mergeCell ref="E63:F63"/>
    <mergeCell ref="C93:D93"/>
    <mergeCell ref="E65:F65"/>
    <mergeCell ref="C105:D105"/>
    <mergeCell ref="E105:F105"/>
    <mergeCell ref="J4:K4"/>
    <mergeCell ref="E99:F99"/>
    <mergeCell ref="C76:D76"/>
    <mergeCell ref="D4:E4"/>
    <mergeCell ref="E101:F101"/>
    <mergeCell ref="F43:G43"/>
    <mergeCell ref="E113:F113"/>
    <mergeCell ref="E91:F91"/>
    <mergeCell ref="E85:F85"/>
    <mergeCell ref="E100:F100"/>
    <mergeCell ref="C67:D67"/>
    <mergeCell ref="E75:F75"/>
    <mergeCell ref="A6:L6"/>
    <mergeCell ref="E115:F115"/>
    <mergeCell ref="C111:D111"/>
    <mergeCell ref="E93:F93"/>
    <mergeCell ref="E102:F102"/>
    <mergeCell ref="C69:D69"/>
    <mergeCell ref="C83:D83"/>
    <mergeCell ref="C92:D92"/>
    <mergeCell ref="E67:F67"/>
    <mergeCell ref="C97:D97"/>
    <mergeCell ref="C109:D109"/>
    <mergeCell ref="F45:G45"/>
    <mergeCell ref="F42:G42"/>
    <mergeCell ref="A59:M59"/>
    <mergeCell ref="C90:D90"/>
    <mergeCell ref="C60:D60"/>
    <mergeCell ref="E90:F90"/>
    <mergeCell ref="E104:F104"/>
    <mergeCell ref="C71:D71"/>
    <mergeCell ref="C110:D110"/>
    <mergeCell ref="E110:F110"/>
    <mergeCell ref="C91:D91"/>
    <mergeCell ref="C82:D82"/>
    <mergeCell ref="E76:F76"/>
    <mergeCell ref="C66:D66"/>
    <mergeCell ref="E66:F66"/>
    <mergeCell ref="F44:G44"/>
    <mergeCell ref="C102:D102"/>
    <mergeCell ref="C77:D77"/>
    <mergeCell ref="C86:D86"/>
    <mergeCell ref="C68:D68"/>
    <mergeCell ref="E68:F68"/>
    <mergeCell ref="C108:D108"/>
    <mergeCell ref="E83:F83"/>
    <mergeCell ref="E92:F92"/>
    <mergeCell ref="C113:D113"/>
    <mergeCell ref="A2:L2"/>
    <mergeCell ref="E107:F107"/>
    <mergeCell ref="C85:D85"/>
    <mergeCell ref="C100:D100"/>
    <mergeCell ref="C112:D112"/>
    <mergeCell ref="A117:M117"/>
    <mergeCell ref="C94:D94"/>
    <mergeCell ref="C65:D65"/>
    <mergeCell ref="E94:F94"/>
    <mergeCell ref="E103:F103"/>
    <mergeCell ref="C75:D75"/>
    <mergeCell ref="C84:D84"/>
    <mergeCell ref="E69:F69"/>
    <mergeCell ref="E84:F84"/>
    <mergeCell ref="E78:F78"/>
    <mergeCell ref="C80:D80"/>
    <mergeCell ref="C114:D114"/>
    <mergeCell ref="E114:F114"/>
    <mergeCell ref="E77:F77"/>
    <mergeCell ref="E108:F108"/>
    <mergeCell ref="E86:F86"/>
    <mergeCell ref="C95:D95"/>
    <mergeCell ref="E80:F80"/>
    <mergeCell ref="E95:F95"/>
    <mergeCell ref="A5:B5"/>
    <mergeCell ref="E89:F89"/>
    <mergeCell ref="C61:D61"/>
    <mergeCell ref="E61:F61"/>
    <mergeCell ref="C70:D70"/>
    <mergeCell ref="E70:F70"/>
    <mergeCell ref="C106:D106"/>
    <mergeCell ref="A4:B4"/>
    <mergeCell ref="E72:F72"/>
    <mergeCell ref="A120:M120"/>
    <mergeCell ref="D5:E5"/>
    <mergeCell ref="E81:F81"/>
    <mergeCell ref="E112:F112"/>
    <mergeCell ref="E96:F96"/>
    <mergeCell ref="C101:D101"/>
    <mergeCell ref="J5:K5"/>
    <mergeCell ref="E106:F106"/>
    <mergeCell ref="C104:D104"/>
    <mergeCell ref="E98:F98"/>
    <mergeCell ref="C74:D74"/>
    <mergeCell ref="C88:D88"/>
    <mergeCell ref="E88:F88"/>
    <mergeCell ref="E82:F82"/>
    <mergeCell ref="C103:D103"/>
    <mergeCell ref="C99:D99"/>
    <mergeCell ref="E60:F60"/>
    <mergeCell ref="E74:F74"/>
    <mergeCell ref="C115:D115"/>
    <mergeCell ref="A119:M119"/>
    <mergeCell ref="G5:H5"/>
    <mergeCell ref="G4:H4"/>
    <mergeCell ref="A118:M118"/>
    <mergeCell ref="C72:D72"/>
    <mergeCell ref="C81:D81"/>
    <mergeCell ref="A1:L1"/>
    <mergeCell ref="E97:F97"/>
    <mergeCell ref="C96:D96"/>
    <mergeCell ref="C78:D78"/>
    <mergeCell ref="E109:F109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60" customWidth="1" min="5" max="5"/>
    <col width="16" customWidth="1" min="6" max="6"/>
    <col width="10" customWidth="1" min="8" max="8"/>
    <col width="12" customWidth="1" min="9" max="9"/>
    <col width="30" customWidth="1" min="10" max="10"/>
    <col width="26" customWidth="1" min="11" max="11"/>
    <col width="12" customWidth="1" min="12" max="12"/>
    <col width="70" customWidth="1" min="13" max="13"/>
  </cols>
  <sheetData>
    <row r="1">
      <c r="A1" s="18" t="inlineStr">
        <is>
          <t>Supporting tables - sources: data/cleaned_data.csv, data/issues_flagged.csv, data/route_metrics.csv</t>
        </is>
      </c>
    </row>
    <row r="3">
      <c r="A3" s="19" t="inlineStr">
        <is>
          <t>Volume by product (clean records)</t>
        </is>
      </c>
      <c r="H3" s="19" t="inlineStr">
        <is>
          <t>Data-quality exception register</t>
        </is>
      </c>
    </row>
    <row r="4">
      <c r="A4" s="9" t="inlineStr">
        <is>
          <t>Product</t>
        </is>
      </c>
      <c r="B4" s="9" t="inlineStr">
        <is>
          <t>Volume (L)</t>
        </is>
      </c>
      <c r="H4" s="9" t="inlineStr">
        <is>
          <t>Record</t>
        </is>
      </c>
      <c r="I4" s="9" t="inlineStr">
        <is>
          <t>Shipment</t>
        </is>
      </c>
      <c r="J4" s="9" t="inlineStr">
        <is>
          <t>Route</t>
        </is>
      </c>
      <c r="K4" s="9" t="inlineStr">
        <is>
          <t>Issue</t>
        </is>
      </c>
      <c r="L4" s="9" t="inlineStr">
        <is>
          <t>Severity</t>
        </is>
      </c>
      <c r="M4" s="9" t="inlineStr">
        <is>
          <t>Detail</t>
        </is>
      </c>
    </row>
    <row r="5">
      <c r="A5" s="20" t="inlineStr">
        <is>
          <t>Petrol</t>
        </is>
      </c>
      <c r="B5" s="21" t="n">
        <v>4658000</v>
      </c>
      <c r="H5" s="22" t="n">
        <v>3</v>
      </c>
      <c r="I5" s="20" t="inlineStr">
        <is>
          <t>SHP-0003</t>
        </is>
      </c>
      <c r="J5" s="20" t="inlineStr">
        <is>
          <t>Kitwe -&gt; Kalulushi</t>
        </is>
      </c>
      <c r="K5" s="20" t="inlineStr">
        <is>
          <t>Distance discrepancy</t>
        </is>
      </c>
      <c r="L5" s="20" t="inlineStr">
        <is>
          <t>High</t>
        </is>
      </c>
      <c r="M5" s="20" t="inlineStr">
        <is>
          <t>claimed 88 km vs reference 40 km (difference 48 km)</t>
        </is>
      </c>
    </row>
    <row r="6">
      <c r="A6" s="20" t="inlineStr">
        <is>
          <t>Diesel</t>
        </is>
      </c>
      <c r="B6" s="21" t="n">
        <v>4242000</v>
      </c>
      <c r="H6" s="22" t="n">
        <v>6</v>
      </c>
      <c r="I6" s="20" t="inlineStr">
        <is>
          <t>SHP-0006</t>
        </is>
      </c>
      <c r="J6" s="20" t="inlineStr">
        <is>
          <t>Kasama -&gt; Serenje</t>
        </is>
      </c>
      <c r="K6" s="20" t="inlineStr">
        <is>
          <t>Distance discrepancy</t>
        </is>
      </c>
      <c r="L6" s="20" t="inlineStr">
        <is>
          <t>High</t>
        </is>
      </c>
      <c r="M6" s="20" t="inlineStr">
        <is>
          <t>claimed 172 km vs reference 215 km (difference 43 km)</t>
        </is>
      </c>
    </row>
    <row r="7">
      <c r="A7" s="20" t="inlineStr">
        <is>
          <t>Kerosene</t>
        </is>
      </c>
      <c r="B7" s="21" t="n">
        <v>1698000</v>
      </c>
      <c r="H7" s="22" t="n">
        <v>29</v>
      </c>
      <c r="I7" s="20" t="inlineStr">
        <is>
          <t>SHP-0029</t>
        </is>
      </c>
      <c r="J7" s="20" t="inlineStr">
        <is>
          <t>Lusaka -&gt; Ndola</t>
        </is>
      </c>
      <c r="K7" s="20" t="inlineStr">
        <is>
          <t>Distance discrepancy</t>
        </is>
      </c>
      <c r="L7" s="20" t="inlineStr">
        <is>
          <t>High</t>
        </is>
      </c>
      <c r="M7" s="20" t="inlineStr">
        <is>
          <t>claimed 334 km vs reference 370 km (difference 36 km)</t>
        </is>
      </c>
    </row>
    <row r="8">
      <c r="A8" s="20" t="inlineStr">
        <is>
          <t>Jet A-1</t>
        </is>
      </c>
      <c r="B8" s="21" t="n">
        <v>964000</v>
      </c>
      <c r="H8" s="22" t="n">
        <v>49</v>
      </c>
      <c r="I8" s="20" t="inlineStr">
        <is>
          <t>SHP-0049</t>
        </is>
      </c>
      <c r="J8" s="20" t="inlineStr">
        <is>
          <t>Ndola -&gt; Kasumbalesa</t>
        </is>
      </c>
      <c r="K8" s="20" t="inlineStr">
        <is>
          <t>Distance discrepancy</t>
        </is>
      </c>
      <c r="L8" s="20" t="inlineStr">
        <is>
          <t>High</t>
        </is>
      </c>
      <c r="M8" s="20" t="inlineStr">
        <is>
          <t>claimed 30 km vs reference 105 km (difference 75 km)</t>
        </is>
      </c>
    </row>
    <row r="9">
      <c r="H9" s="22" t="n">
        <v>96</v>
      </c>
      <c r="I9" s="20" t="inlineStr">
        <is>
          <t>SHP-0096</t>
        </is>
      </c>
      <c r="J9" s="20" t="inlineStr">
        <is>
          <t>Ndola -&gt; Solwezi</t>
        </is>
      </c>
      <c r="K9" s="20" t="inlineStr">
        <is>
          <t>Distance discrepancy</t>
        </is>
      </c>
      <c r="L9" s="20" t="inlineStr">
        <is>
          <t>High</t>
        </is>
      </c>
      <c r="M9" s="20" t="inlineStr">
        <is>
          <t>claimed 272 km vs reference 215 km (difference 57 km)</t>
        </is>
      </c>
    </row>
    <row r="10">
      <c r="H10" s="22" t="n">
        <v>101</v>
      </c>
      <c r="I10" s="20" t="inlineStr">
        <is>
          <t>SHP-0101</t>
        </is>
      </c>
      <c r="J10" s="20" t="inlineStr">
        <is>
          <t>Kitwe -&gt; Chingola</t>
        </is>
      </c>
      <c r="K10" s="20" t="inlineStr">
        <is>
          <t>Distance discrepancy</t>
        </is>
      </c>
      <c r="L10" s="20" t="inlineStr">
        <is>
          <t>High</t>
        </is>
      </c>
      <c r="M10" s="20" t="inlineStr">
        <is>
          <t>claimed 150 km vs reference 65 km (difference 85 km)</t>
        </is>
      </c>
    </row>
    <row r="11">
      <c r="A11" s="19" t="inlineStr">
        <is>
          <t>Volume by destination province (clean records)</t>
        </is>
      </c>
      <c r="H11" s="22" t="n">
        <v>104</v>
      </c>
      <c r="I11" s="20" t="inlineStr">
        <is>
          <t>SHP-0104</t>
        </is>
      </c>
      <c r="J11" s="20" t="inlineStr">
        <is>
          <t>Kasama -&gt; Mbala</t>
        </is>
      </c>
      <c r="K11" s="20" t="inlineStr">
        <is>
          <t>Distance discrepancy</t>
        </is>
      </c>
      <c r="L11" s="20" t="inlineStr">
        <is>
          <t>High</t>
        </is>
      </c>
      <c r="M11" s="20" t="inlineStr">
        <is>
          <t>claimed 117 km vs reference 90 km (difference 27 km)</t>
        </is>
      </c>
    </row>
    <row r="12">
      <c r="A12" s="9" t="inlineStr">
        <is>
          <t>Province</t>
        </is>
      </c>
      <c r="B12" s="9" t="inlineStr">
        <is>
          <t>Volume (L)</t>
        </is>
      </c>
      <c r="H12" s="22" t="n">
        <v>108</v>
      </c>
      <c r="I12" s="20" t="inlineStr">
        <is>
          <t>SHP-0108</t>
        </is>
      </c>
      <c r="J12" s="20" t="inlineStr">
        <is>
          <t>Lusaka -&gt; Mongu</t>
        </is>
      </c>
      <c r="K12" s="20" t="inlineStr">
        <is>
          <t>Distance discrepancy</t>
        </is>
      </c>
      <c r="L12" s="20" t="inlineStr">
        <is>
          <t>High</t>
        </is>
      </c>
      <c r="M12" s="20" t="inlineStr">
        <is>
          <t>claimed 589 km vs reference 560 km (difference 29 km)</t>
        </is>
      </c>
    </row>
    <row r="13">
      <c r="A13" s="20" t="inlineStr">
        <is>
          <t>Copperbelt</t>
        </is>
      </c>
      <c r="B13" s="21" t="n">
        <v>3056000</v>
      </c>
      <c r="H13" s="22" t="n">
        <v>129</v>
      </c>
      <c r="I13" s="20" t="inlineStr">
        <is>
          <t>SHP-0129</t>
        </is>
      </c>
      <c r="J13" s="20" t="inlineStr">
        <is>
          <t>Lusaka -&gt; Livingstone</t>
        </is>
      </c>
      <c r="K13" s="20" t="inlineStr">
        <is>
          <t>Distance discrepancy</t>
        </is>
      </c>
      <c r="L13" s="20" t="inlineStr">
        <is>
          <t>High</t>
        </is>
      </c>
      <c r="M13" s="20" t="inlineStr">
        <is>
          <t>claimed 434 km vs reference 485 km (difference 51 km)</t>
        </is>
      </c>
    </row>
    <row r="14">
      <c r="A14" s="20" t="inlineStr">
        <is>
          <t>Central</t>
        </is>
      </c>
      <c r="B14" s="21" t="n">
        <v>1970000</v>
      </c>
      <c r="H14" s="22" t="n">
        <v>136</v>
      </c>
      <c r="I14" s="20" t="inlineStr">
        <is>
          <t>SHP-0136</t>
        </is>
      </c>
      <c r="J14" s="20" t="inlineStr">
        <is>
          <t>Lusaka -&gt; Kabwe</t>
        </is>
      </c>
      <c r="K14" s="20" t="inlineStr">
        <is>
          <t>Distance discrepancy</t>
        </is>
      </c>
      <c r="L14" s="20" t="inlineStr">
        <is>
          <t>High</t>
        </is>
      </c>
      <c r="M14" s="20" t="inlineStr">
        <is>
          <t>claimed 160 km vs reference 130 km (difference 30 km)</t>
        </is>
      </c>
    </row>
    <row r="15">
      <c r="A15" s="20" t="inlineStr">
        <is>
          <t>Southern</t>
        </is>
      </c>
      <c r="B15" s="21" t="n">
        <v>1846000</v>
      </c>
      <c r="H15" s="22" t="n">
        <v>207</v>
      </c>
      <c r="I15" s="20" t="inlineStr">
        <is>
          <t>SHP-0207</t>
        </is>
      </c>
      <c r="J15" s="20" t="inlineStr">
        <is>
          <t>Lusaka -&gt; Livingstone</t>
        </is>
      </c>
      <c r="K15" s="20" t="inlineStr">
        <is>
          <t>Distance discrepancy</t>
        </is>
      </c>
      <c r="L15" s="20" t="inlineStr">
        <is>
          <t>High</t>
        </is>
      </c>
      <c r="M15" s="20" t="inlineStr">
        <is>
          <t>claimed 443 km vs reference 485 km (difference 42 km)</t>
        </is>
      </c>
    </row>
    <row r="16">
      <c r="A16" s="20" t="inlineStr">
        <is>
          <t>Eastern</t>
        </is>
      </c>
      <c r="B16" s="21" t="n">
        <v>1286000</v>
      </c>
      <c r="H16" s="22" t="n">
        <v>251</v>
      </c>
      <c r="I16" s="20" t="inlineStr">
        <is>
          <t>SHP-0251</t>
        </is>
      </c>
      <c r="J16" s="20" t="inlineStr">
        <is>
          <t>Ndola -&gt; Solwezi</t>
        </is>
      </c>
      <c r="K16" s="20" t="inlineStr">
        <is>
          <t>Distance discrepancy</t>
        </is>
      </c>
      <c r="L16" s="20" t="inlineStr">
        <is>
          <t>High</t>
        </is>
      </c>
      <c r="M16" s="20" t="inlineStr">
        <is>
          <t>claimed 125 km vs reference 215 km (difference 90 km)</t>
        </is>
      </c>
    </row>
    <row r="17">
      <c r="A17" s="20" t="inlineStr">
        <is>
          <t>North-Western</t>
        </is>
      </c>
      <c r="B17" s="21" t="n">
        <v>1182000</v>
      </c>
      <c r="H17" s="22" t="n">
        <v>272</v>
      </c>
      <c r="I17" s="20" t="inlineStr">
        <is>
          <t>SHP-0272</t>
        </is>
      </c>
      <c r="J17" s="20" t="inlineStr">
        <is>
          <t>Lusaka -&gt; Ndola</t>
        </is>
      </c>
      <c r="K17" s="20" t="inlineStr">
        <is>
          <t>Distance discrepancy</t>
        </is>
      </c>
      <c r="L17" s="20" t="inlineStr">
        <is>
          <t>High</t>
        </is>
      </c>
      <c r="M17" s="20" t="inlineStr">
        <is>
          <t>claimed 332 km vs reference 370 km (difference 38 km)</t>
        </is>
      </c>
    </row>
    <row r="18">
      <c r="A18" s="20" t="inlineStr">
        <is>
          <t>Western</t>
        </is>
      </c>
      <c r="B18" s="21" t="n">
        <v>864000</v>
      </c>
      <c r="H18" s="22" t="n">
        <v>301</v>
      </c>
      <c r="I18" s="20" t="inlineStr">
        <is>
          <t>SHP-0301</t>
        </is>
      </c>
      <c r="J18" s="20" t="inlineStr">
        <is>
          <t>Kabwe -&gt; Mkushi</t>
        </is>
      </c>
      <c r="K18" s="20" t="inlineStr">
        <is>
          <t>Distance discrepancy</t>
        </is>
      </c>
      <c r="L18" s="20" t="inlineStr">
        <is>
          <t>High</t>
        </is>
      </c>
      <c r="M18" s="20" t="inlineStr">
        <is>
          <t>claimed 57 km vs reference 95 km (difference 38 km)</t>
        </is>
      </c>
    </row>
    <row r="19">
      <c r="A19" s="20" t="inlineStr">
        <is>
          <t>Luapula</t>
        </is>
      </c>
      <c r="B19" s="21" t="n">
        <v>630000</v>
      </c>
      <c r="H19" s="22" t="n">
        <v>326</v>
      </c>
      <c r="I19" s="20" t="inlineStr">
        <is>
          <t>SHP-0326</t>
        </is>
      </c>
      <c r="J19" s="20" t="inlineStr">
        <is>
          <t>Ndola -&gt; Solwezi</t>
        </is>
      </c>
      <c r="K19" s="20" t="inlineStr">
        <is>
          <t>Distance discrepancy</t>
        </is>
      </c>
      <c r="L19" s="20" t="inlineStr">
        <is>
          <t>High</t>
        </is>
      </c>
      <c r="M19" s="20" t="inlineStr">
        <is>
          <t>claimed 153 km vs reference 215 km (difference 62 km)</t>
        </is>
      </c>
    </row>
    <row r="20">
      <c r="A20" s="20" t="inlineStr">
        <is>
          <t>Muchinga</t>
        </is>
      </c>
      <c r="B20" s="21" t="n">
        <v>434000</v>
      </c>
      <c r="H20" s="22" t="n">
        <v>367</v>
      </c>
      <c r="I20" s="20" t="inlineStr">
        <is>
          <t>SHP-0367</t>
        </is>
      </c>
      <c r="J20" s="20" t="inlineStr">
        <is>
          <t>Kabwe -&gt; Mkushi</t>
        </is>
      </c>
      <c r="K20" s="20" t="inlineStr">
        <is>
          <t>Distance discrepancy</t>
        </is>
      </c>
      <c r="L20" s="20" t="inlineStr">
        <is>
          <t>High</t>
        </is>
      </c>
      <c r="M20" s="20" t="inlineStr">
        <is>
          <t>claimed 38 km vs reference 95 km (difference 57 km)</t>
        </is>
      </c>
    </row>
    <row r="21">
      <c r="A21" s="20" t="inlineStr">
        <is>
          <t>Northern</t>
        </is>
      </c>
      <c r="B21" s="21" t="n">
        <v>294000</v>
      </c>
      <c r="H21" s="22" t="n">
        <v>384</v>
      </c>
      <c r="I21" s="20" t="inlineStr">
        <is>
          <t>SHP-0384</t>
        </is>
      </c>
      <c r="J21" s="20" t="inlineStr">
        <is>
          <t>Lusaka -&gt; Petauke</t>
        </is>
      </c>
      <c r="K21" s="20" t="inlineStr">
        <is>
          <t>Distance discrepancy</t>
        </is>
      </c>
      <c r="L21" s="20" t="inlineStr">
        <is>
          <t>High</t>
        </is>
      </c>
      <c r="M21" s="20" t="inlineStr">
        <is>
          <t>claimed 483 km vs reference 420 km (difference 63 km)</t>
        </is>
      </c>
    </row>
    <row r="22">
      <c r="H22" s="22" t="n">
        <v>404</v>
      </c>
      <c r="I22" s="20" t="inlineStr">
        <is>
          <t>SHP-0040</t>
        </is>
      </c>
      <c r="J22" s="20" t="inlineStr">
        <is>
          <t>Ndola -&gt; Solwezi</t>
        </is>
      </c>
      <c r="K22" s="20" t="inlineStr">
        <is>
          <t>Duplicate record</t>
        </is>
      </c>
      <c r="L22" s="20" t="inlineStr">
        <is>
          <t>Medium</t>
        </is>
      </c>
      <c r="M22" s="20" t="inlineStr">
        <is>
          <t>Identical to SHP-0040 (record 40)</t>
        </is>
      </c>
    </row>
    <row r="23">
      <c r="H23" s="22" t="n">
        <v>406</v>
      </c>
      <c r="I23" s="20" t="inlineStr">
        <is>
          <t>SHP-0063</t>
        </is>
      </c>
      <c r="J23" s="20" t="inlineStr">
        <is>
          <t>Ndola -&gt; Chingola</t>
        </is>
      </c>
      <c r="K23" s="20" t="inlineStr">
        <is>
          <t>Duplicate record</t>
        </is>
      </c>
      <c r="L23" s="20" t="inlineStr">
        <is>
          <t>Medium</t>
        </is>
      </c>
      <c r="M23" s="20" t="inlineStr">
        <is>
          <t>Identical to SHP-0063 (record 63)</t>
        </is>
      </c>
    </row>
    <row r="24">
      <c r="A24" s="19" t="inlineStr">
        <is>
          <t>Average transport cost by destination - top 10 (clean records)</t>
        </is>
      </c>
      <c r="H24" s="22" t="n">
        <v>402</v>
      </c>
      <c r="I24" s="20" t="inlineStr">
        <is>
          <t>SHP-0097</t>
        </is>
      </c>
      <c r="J24" s="20" t="inlineStr">
        <is>
          <t>Lusaka -&gt; Mansa</t>
        </is>
      </c>
      <c r="K24" s="20" t="inlineStr">
        <is>
          <t>Duplicate record</t>
        </is>
      </c>
      <c r="L24" s="20" t="inlineStr">
        <is>
          <t>Medium</t>
        </is>
      </c>
      <c r="M24" s="20" t="inlineStr">
        <is>
          <t>Identical to SHP-0097 (record 97)</t>
        </is>
      </c>
    </row>
    <row r="25">
      <c r="A25" s="9" t="inlineStr">
        <is>
          <t>Destination</t>
        </is>
      </c>
      <c r="B25" s="9" t="inlineStr">
        <is>
          <t>Avg cost (ZMW)</t>
        </is>
      </c>
      <c r="H25" s="22" t="n">
        <v>403</v>
      </c>
      <c r="I25" s="20" t="inlineStr">
        <is>
          <t>SHP-0178</t>
        </is>
      </c>
      <c r="J25" s="20" t="inlineStr">
        <is>
          <t>Kasama -&gt; Serenje</t>
        </is>
      </c>
      <c r="K25" s="20" t="inlineStr">
        <is>
          <t>Duplicate record</t>
        </is>
      </c>
      <c r="L25" s="20" t="inlineStr">
        <is>
          <t>Medium</t>
        </is>
      </c>
      <c r="M25" s="20" t="inlineStr">
        <is>
          <t>Identical to SHP-0178 (record 178)</t>
        </is>
      </c>
    </row>
    <row r="26">
      <c r="A26" s="20" t="inlineStr">
        <is>
          <t>Mongu (Western)</t>
        </is>
      </c>
      <c r="B26" s="21" t="n">
        <v>77908.4705882353</v>
      </c>
      <c r="H26" s="22" t="n">
        <v>407</v>
      </c>
      <c r="I26" s="20" t="inlineStr">
        <is>
          <t>SHP-0235</t>
        </is>
      </c>
      <c r="J26" s="20" t="inlineStr">
        <is>
          <t>Kasama -&gt; Mpika</t>
        </is>
      </c>
      <c r="K26" s="20" t="inlineStr">
        <is>
          <t>Duplicate record</t>
        </is>
      </c>
      <c r="L26" s="20" t="inlineStr">
        <is>
          <t>Medium</t>
        </is>
      </c>
      <c r="M26" s="20" t="inlineStr">
        <is>
          <t>Identical to SHP-0235 (record 235)</t>
        </is>
      </c>
    </row>
    <row r="27">
      <c r="A27" s="20" t="inlineStr">
        <is>
          <t>Livingstone (Southern)</t>
        </is>
      </c>
      <c r="B27" s="21" t="n">
        <v>72959.13333333333</v>
      </c>
      <c r="H27" s="22" t="n">
        <v>408</v>
      </c>
      <c r="I27" s="20" t="inlineStr">
        <is>
          <t>SHP-0277</t>
        </is>
      </c>
      <c r="J27" s="20" t="inlineStr">
        <is>
          <t>Lusaka -&gt; Chipata</t>
        </is>
      </c>
      <c r="K27" s="20" t="inlineStr">
        <is>
          <t>Duplicate record</t>
        </is>
      </c>
      <c r="L27" s="20" t="inlineStr">
        <is>
          <t>Medium</t>
        </is>
      </c>
      <c r="M27" s="20" t="inlineStr">
        <is>
          <t>Identical to SHP-0277 (record 277)</t>
        </is>
      </c>
    </row>
    <row r="28">
      <c r="A28" s="20" t="inlineStr">
        <is>
          <t>Mansa (Luapula)</t>
        </is>
      </c>
      <c r="B28" s="21" t="n">
        <v>66164.77777777778</v>
      </c>
      <c r="H28" s="22" t="n">
        <v>401</v>
      </c>
      <c r="I28" s="20" t="inlineStr">
        <is>
          <t>SHP-0336</t>
        </is>
      </c>
      <c r="J28" s="20" t="inlineStr">
        <is>
          <t>Ndola -&gt; Mufulira</t>
        </is>
      </c>
      <c r="K28" s="20" t="inlineStr">
        <is>
          <t>Duplicate record</t>
        </is>
      </c>
      <c r="L28" s="20" t="inlineStr">
        <is>
          <t>Medium</t>
        </is>
      </c>
      <c r="M28" s="20" t="inlineStr">
        <is>
          <t>Identical to SHP-0336 (record 336)</t>
        </is>
      </c>
    </row>
    <row r="29">
      <c r="A29" s="20" t="inlineStr">
        <is>
          <t>Petauke (Eastern)</t>
        </is>
      </c>
      <c r="B29" s="21" t="n">
        <v>61339.52173913043</v>
      </c>
      <c r="H29" s="22" t="n">
        <v>405</v>
      </c>
      <c r="I29" s="20" t="inlineStr">
        <is>
          <t>SHP-0380</t>
        </is>
      </c>
      <c r="J29" s="20" t="inlineStr">
        <is>
          <t>Ndola -&gt; Kapiri Mposhi</t>
        </is>
      </c>
      <c r="K29" s="20" t="inlineStr">
        <is>
          <t>Duplicate record</t>
        </is>
      </c>
      <c r="L29" s="20" t="inlineStr">
        <is>
          <t>Medium</t>
        </is>
      </c>
      <c r="M29" s="20" t="inlineStr">
        <is>
          <t>Identical to SHP-0380 (record 380)</t>
        </is>
      </c>
    </row>
    <row r="30">
      <c r="A30" s="20" t="inlineStr">
        <is>
          <t>Chipata (Eastern)</t>
        </is>
      </c>
      <c r="B30" s="21" t="n">
        <v>59859.5</v>
      </c>
      <c r="H30" s="22" t="n">
        <v>17</v>
      </c>
      <c r="I30" s="20" t="inlineStr">
        <is>
          <t>SHP-0017</t>
        </is>
      </c>
      <c r="J30" s="20" t="inlineStr">
        <is>
          <t>Ndola -&gt; Chingola</t>
        </is>
      </c>
      <c r="K30" s="20" t="inlineStr">
        <is>
          <t>High-cost anomaly</t>
        </is>
      </c>
      <c r="L30" s="20" t="inlineStr">
        <is>
          <t>Medium</t>
        </is>
      </c>
      <c r="M30" s="20" t="inlineStr">
        <is>
          <t>0.00997 ZMW per litre-km exceeds threshold of 0.00639</t>
        </is>
      </c>
    </row>
    <row r="31">
      <c r="A31" s="20" t="inlineStr">
        <is>
          <t>Ndola (Copperbelt)</t>
        </is>
      </c>
      <c r="B31" s="21" t="n">
        <v>56570.29411764706</v>
      </c>
      <c r="H31" s="22" t="n">
        <v>43</v>
      </c>
      <c r="I31" s="20" t="inlineStr">
        <is>
          <t>SHP-0043</t>
        </is>
      </c>
      <c r="J31" s="20" t="inlineStr">
        <is>
          <t>Ndola -&gt; Kasumbalesa</t>
        </is>
      </c>
      <c r="K31" s="20" t="inlineStr">
        <is>
          <t>High-cost anomaly</t>
        </is>
      </c>
      <c r="L31" s="20" t="inlineStr">
        <is>
          <t>Medium</t>
        </is>
      </c>
      <c r="M31" s="20" t="inlineStr">
        <is>
          <t>0.01122 ZMW per litre-km exceeds threshold of 0.00639</t>
        </is>
      </c>
    </row>
    <row r="32">
      <c r="A32" s="20" t="inlineStr">
        <is>
          <t>Solwezi (North-Western)</t>
        </is>
      </c>
      <c r="B32" s="21" t="n">
        <v>56097.78378378379</v>
      </c>
      <c r="H32" s="22" t="n">
        <v>131</v>
      </c>
      <c r="I32" s="20" t="inlineStr">
        <is>
          <t>SHP-0131</t>
        </is>
      </c>
      <c r="J32" s="20" t="inlineStr">
        <is>
          <t>Lusaka -&gt; Ndola</t>
        </is>
      </c>
      <c r="K32" s="20" t="inlineStr">
        <is>
          <t>High-cost anomaly</t>
        </is>
      </c>
      <c r="L32" s="20" t="inlineStr">
        <is>
          <t>Medium</t>
        </is>
      </c>
      <c r="M32" s="20" t="inlineStr">
        <is>
          <t>0.00840 ZMW per litre-km exceeds threshold of 0.00639</t>
        </is>
      </c>
    </row>
    <row r="33">
      <c r="A33" s="20" t="inlineStr">
        <is>
          <t>Choma (Southern)</t>
        </is>
      </c>
      <c r="B33" s="21" t="n">
        <v>37408.26086956522</v>
      </c>
      <c r="H33" s="22" t="n">
        <v>162</v>
      </c>
      <c r="I33" s="20" t="inlineStr">
        <is>
          <t>SHP-0162</t>
        </is>
      </c>
      <c r="J33" s="20" t="inlineStr">
        <is>
          <t>Kitwe -&gt; Chingola</t>
        </is>
      </c>
      <c r="K33" s="20" t="inlineStr">
        <is>
          <t>High-cost anomaly</t>
        </is>
      </c>
      <c r="L33" s="20" t="inlineStr">
        <is>
          <t>Medium</t>
        </is>
      </c>
      <c r="M33" s="20" t="inlineStr">
        <is>
          <t>0.00977 ZMW per litre-km exceeds threshold of 0.00639</t>
        </is>
      </c>
    </row>
    <row r="34">
      <c r="A34" s="20" t="inlineStr">
        <is>
          <t>Serenje (Central)</t>
        </is>
      </c>
      <c r="B34" s="21" t="n">
        <v>28562.94117647059</v>
      </c>
      <c r="H34" s="22" t="n">
        <v>192</v>
      </c>
      <c r="I34" s="20" t="inlineStr">
        <is>
          <t>SHP-0192</t>
        </is>
      </c>
      <c r="J34" s="20" t="inlineStr">
        <is>
          <t>Lusaka -&gt; Kitwe</t>
        </is>
      </c>
      <c r="K34" s="20" t="inlineStr">
        <is>
          <t>High-cost anomaly</t>
        </is>
      </c>
      <c r="L34" s="20" t="inlineStr">
        <is>
          <t>Medium</t>
        </is>
      </c>
      <c r="M34" s="20" t="inlineStr">
        <is>
          <t>0.00934 ZMW per litre-km exceeds threshold of 0.00639</t>
        </is>
      </c>
    </row>
    <row r="35">
      <c r="A35" s="20" t="inlineStr">
        <is>
          <t>Kitwe (Copperbelt)</t>
        </is>
      </c>
      <c r="B35" s="21" t="n">
        <v>26332.63636363636</v>
      </c>
      <c r="H35" s="22" t="n">
        <v>250</v>
      </c>
      <c r="I35" s="20" t="inlineStr">
        <is>
          <t>SHP-0250</t>
        </is>
      </c>
      <c r="J35" s="20" t="inlineStr">
        <is>
          <t>Lusaka -&gt; Solwezi</t>
        </is>
      </c>
      <c r="K35" s="20" t="inlineStr">
        <is>
          <t>High-cost anomaly</t>
        </is>
      </c>
      <c r="L35" s="20" t="inlineStr">
        <is>
          <t>Medium</t>
        </is>
      </c>
      <c r="M35" s="20" t="inlineStr">
        <is>
          <t>0.01027 ZMW per litre-km exceeds threshold of 0.00639</t>
        </is>
      </c>
    </row>
    <row r="36">
      <c r="H36" s="22" t="n">
        <v>283</v>
      </c>
      <c r="I36" s="20" t="inlineStr">
        <is>
          <t>SHP-0283</t>
        </is>
      </c>
      <c r="J36" s="20" t="inlineStr">
        <is>
          <t>Lusaka -&gt; Kitwe</t>
        </is>
      </c>
      <c r="K36" s="20" t="inlineStr">
        <is>
          <t>High-cost anomaly</t>
        </is>
      </c>
      <c r="L36" s="20" t="inlineStr">
        <is>
          <t>Medium</t>
        </is>
      </c>
      <c r="M36" s="20" t="inlineStr">
        <is>
          <t>0.00814 ZMW per litre-km exceeds threshold of 0.00639</t>
        </is>
      </c>
    </row>
    <row r="37">
      <c r="H37" s="22" t="n">
        <v>379</v>
      </c>
      <c r="I37" s="20" t="inlineStr">
        <is>
          <t>SHP-0379</t>
        </is>
      </c>
      <c r="J37" s="20" t="inlineStr">
        <is>
          <t>Lusaka -&gt; Mansa</t>
        </is>
      </c>
      <c r="K37" s="20" t="inlineStr">
        <is>
          <t>High-cost anomaly</t>
        </is>
      </c>
      <c r="L37" s="20" t="inlineStr">
        <is>
          <t>Medium</t>
        </is>
      </c>
      <c r="M37" s="20" t="inlineStr">
        <is>
          <t>0.00862 ZMW per litre-km exceeds threshold of 0.00639</t>
        </is>
      </c>
    </row>
    <row r="38">
      <c r="A38" s="19" t="inlineStr">
        <is>
          <t>Average transport cost by week (clean records)</t>
        </is>
      </c>
      <c r="H38" s="22" t="n">
        <v>382</v>
      </c>
      <c r="I38" s="20" t="inlineStr">
        <is>
          <t>SHP-0382</t>
        </is>
      </c>
      <c r="J38" s="20" t="inlineStr">
        <is>
          <t>Kasama -&gt; Mpika</t>
        </is>
      </c>
      <c r="K38" s="20" t="inlineStr">
        <is>
          <t>High-cost anomaly</t>
        </is>
      </c>
      <c r="L38" s="20" t="inlineStr">
        <is>
          <t>Medium</t>
        </is>
      </c>
      <c r="M38" s="20" t="inlineStr">
        <is>
          <t>0.00712 ZMW per litre-km exceeds threshold of 0.00639</t>
        </is>
      </c>
    </row>
    <row r="39">
      <c r="A39" s="9" t="inlineStr">
        <is>
          <t>Week commencing</t>
        </is>
      </c>
      <c r="B39" s="9" t="inlineStr">
        <is>
          <t>Avg cost (ZMW)</t>
        </is>
      </c>
      <c r="H39" s="22" t="n">
        <v>56</v>
      </c>
      <c r="I39" s="20" t="inlineStr">
        <is>
          <t>SHP-0056</t>
        </is>
      </c>
      <c r="J39" s="20" t="inlineStr">
        <is>
          <t>Kabwe -&gt; Mkushi</t>
        </is>
      </c>
      <c r="K39" s="20" t="inlineStr">
        <is>
          <t>Invalid volume</t>
        </is>
      </c>
      <c r="L39" s="20" t="inlineStr">
        <is>
          <t>High</t>
        </is>
      </c>
      <c r="M39" s="20" t="inlineStr">
        <is>
          <t>volume_litres is empty or non-numeric</t>
        </is>
      </c>
    </row>
    <row r="40">
      <c r="A40" s="20" t="inlineStr">
        <is>
          <t>29 Jun</t>
        </is>
      </c>
      <c r="B40" s="21" t="n">
        <v>38977.26315789474</v>
      </c>
      <c r="H40" s="22" t="n">
        <v>183</v>
      </c>
      <c r="I40" s="20" t="inlineStr">
        <is>
          <t>SHP-0183</t>
        </is>
      </c>
      <c r="J40" s="20" t="inlineStr">
        <is>
          <t>Ndola -&gt; Kitwe</t>
        </is>
      </c>
      <c r="K40" s="20" t="inlineStr">
        <is>
          <t>Invalid volume</t>
        </is>
      </c>
      <c r="L40" s="20" t="inlineStr">
        <is>
          <t>High</t>
        </is>
      </c>
      <c r="M40" s="20" t="inlineStr">
        <is>
          <t>volume_litres is empty or non-numeric</t>
        </is>
      </c>
    </row>
    <row r="41">
      <c r="A41" s="20" t="inlineStr">
        <is>
          <t>06 Jul</t>
        </is>
      </c>
      <c r="B41" s="21" t="n">
        <v>32871.36363636364</v>
      </c>
      <c r="H41" s="22" t="n">
        <v>214</v>
      </c>
      <c r="I41" s="20" t="inlineStr">
        <is>
          <t>SHP-0214</t>
        </is>
      </c>
      <c r="J41" s="20" t="inlineStr">
        <is>
          <t>Kabwe -&gt; Serenje</t>
        </is>
      </c>
      <c r="K41" s="20" t="inlineStr">
        <is>
          <t>Invalid volume</t>
        </is>
      </c>
      <c r="L41" s="20" t="inlineStr">
        <is>
          <t>High</t>
        </is>
      </c>
      <c r="M41" s="20" t="inlineStr">
        <is>
          <t>volume_litres = 0</t>
        </is>
      </c>
    </row>
    <row r="42">
      <c r="A42" s="20" t="inlineStr">
        <is>
          <t>13 Jul</t>
        </is>
      </c>
      <c r="B42" s="21" t="n">
        <v>38562.1724137931</v>
      </c>
      <c r="H42" s="22" t="n">
        <v>330</v>
      </c>
      <c r="I42" s="20" t="inlineStr">
        <is>
          <t>SHP-0330</t>
        </is>
      </c>
      <c r="J42" s="20" t="inlineStr">
        <is>
          <t>Lusaka -&gt; Mongu</t>
        </is>
      </c>
      <c r="K42" s="20" t="inlineStr">
        <is>
          <t>Invalid volume</t>
        </is>
      </c>
      <c r="L42" s="20" t="inlineStr">
        <is>
          <t>High</t>
        </is>
      </c>
      <c r="M42" s="20" t="inlineStr">
        <is>
          <t>volume_litres = -5,000</t>
        </is>
      </c>
    </row>
    <row r="43">
      <c r="A43" s="20" t="inlineStr">
        <is>
          <t>20 Jul</t>
        </is>
      </c>
      <c r="B43" s="21" t="n">
        <v>35469.36842105263</v>
      </c>
      <c r="H43" s="22" t="n">
        <v>71</v>
      </c>
      <c r="I43" s="20" t="inlineStr">
        <is>
          <t>SHP-0071</t>
        </is>
      </c>
      <c r="J43" s="20" t="inlineStr">
        <is>
          <t>Lusaka -&gt; Kitwe</t>
        </is>
      </c>
      <c r="K43" s="20" t="inlineStr">
        <is>
          <t>Missing company/depot</t>
        </is>
      </c>
      <c r="L43" s="20" t="inlineStr">
        <is>
          <t>High</t>
        </is>
      </c>
      <c r="M43" s="20" t="inlineStr">
        <is>
          <t>company not supplied</t>
        </is>
      </c>
    </row>
    <row r="44">
      <c r="A44" s="20" t="inlineStr">
        <is>
          <t>27 Jul</t>
        </is>
      </c>
      <c r="B44" s="21" t="n">
        <v>37038.70833333334</v>
      </c>
      <c r="H44" s="22" t="n">
        <v>74</v>
      </c>
      <c r="I44" s="20" t="inlineStr">
        <is>
          <t>SHP-0074</t>
        </is>
      </c>
      <c r="J44" s="20" t="inlineStr">
        <is>
          <t xml:space="preserve"> -&gt; Kitwe</t>
        </is>
      </c>
      <c r="K44" s="20" t="inlineStr">
        <is>
          <t>Missing company/depot</t>
        </is>
      </c>
      <c r="L44" s="20" t="inlineStr">
        <is>
          <t>High</t>
        </is>
      </c>
      <c r="M44" s="20" t="inlineStr">
        <is>
          <t>depot not supplied</t>
        </is>
      </c>
    </row>
    <row r="45">
      <c r="A45" s="20" t="inlineStr">
        <is>
          <t>03 Aug</t>
        </is>
      </c>
      <c r="B45" s="21" t="n">
        <v>43179.61111111111</v>
      </c>
      <c r="H45" s="22" t="n">
        <v>81</v>
      </c>
      <c r="I45" s="20" t="inlineStr">
        <is>
          <t>SHP-0081</t>
        </is>
      </c>
      <c r="J45" s="20" t="inlineStr">
        <is>
          <t>Ndola -&gt; Solwezi</t>
        </is>
      </c>
      <c r="K45" s="20" t="inlineStr">
        <is>
          <t>Missing company/depot</t>
        </is>
      </c>
      <c r="L45" s="20" t="inlineStr">
        <is>
          <t>High</t>
        </is>
      </c>
      <c r="M45" s="20" t="inlineStr">
        <is>
          <t>company not supplied</t>
        </is>
      </c>
    </row>
    <row r="46">
      <c r="A46" s="20" t="inlineStr">
        <is>
          <t>10 Aug</t>
        </is>
      </c>
      <c r="B46" s="21" t="n">
        <v>45299.4</v>
      </c>
      <c r="H46" s="22" t="n">
        <v>121</v>
      </c>
      <c r="I46" s="20" t="inlineStr">
        <is>
          <t>SHP-0121</t>
        </is>
      </c>
      <c r="J46" s="20" t="inlineStr">
        <is>
          <t xml:space="preserve"> -&gt; Chingola</t>
        </is>
      </c>
      <c r="K46" s="20" t="inlineStr">
        <is>
          <t>Missing company/depot</t>
        </is>
      </c>
      <c r="L46" s="20" t="inlineStr">
        <is>
          <t>High</t>
        </is>
      </c>
      <c r="M46" s="20" t="inlineStr">
        <is>
          <t>depot not supplied</t>
        </is>
      </c>
    </row>
    <row r="47">
      <c r="A47" s="20" t="inlineStr">
        <is>
          <t>17 Aug</t>
        </is>
      </c>
      <c r="B47" s="21" t="n">
        <v>42180.64864864865</v>
      </c>
      <c r="H47" s="22" t="n">
        <v>197</v>
      </c>
      <c r="I47" s="20" t="inlineStr">
        <is>
          <t>SHP-0197</t>
        </is>
      </c>
      <c r="J47" s="20" t="inlineStr">
        <is>
          <t xml:space="preserve"> -&gt; Mufulira</t>
        </is>
      </c>
      <c r="K47" s="20" t="inlineStr">
        <is>
          <t>Missing company/depot</t>
        </is>
      </c>
      <c r="L47" s="20" t="inlineStr">
        <is>
          <t>High</t>
        </is>
      </c>
      <c r="M47" s="20" t="inlineStr">
        <is>
          <t>depot not supplied</t>
        </is>
      </c>
    </row>
    <row r="48">
      <c r="A48" s="20" t="inlineStr">
        <is>
          <t>24 Aug</t>
        </is>
      </c>
      <c r="B48" s="21" t="n">
        <v>35049.11111111111</v>
      </c>
      <c r="H48" s="22" t="n">
        <v>202</v>
      </c>
      <c r="I48" s="20" t="inlineStr">
        <is>
          <t>SHP-0202</t>
        </is>
      </c>
      <c r="J48" s="20" t="inlineStr">
        <is>
          <t>Kasama -&gt; Mbala</t>
        </is>
      </c>
      <c r="K48" s="20" t="inlineStr">
        <is>
          <t>Missing company/depot</t>
        </is>
      </c>
      <c r="L48" s="20" t="inlineStr">
        <is>
          <t>High</t>
        </is>
      </c>
      <c r="M48" s="20" t="inlineStr">
        <is>
          <t>company not supplied</t>
        </is>
      </c>
    </row>
    <row r="49">
      <c r="A49" s="20" t="inlineStr">
        <is>
          <t>31 Aug</t>
        </is>
      </c>
      <c r="B49" s="21" t="n">
        <v>47360.5</v>
      </c>
      <c r="H49" s="22" t="n">
        <v>24</v>
      </c>
      <c r="I49" s="20" t="inlineStr">
        <is>
          <t>SHP-0024</t>
        </is>
      </c>
      <c r="J49" s="20" t="inlineStr">
        <is>
          <t>Kitwe -&gt; Chingola</t>
        </is>
      </c>
      <c r="K49" s="20" t="inlineStr">
        <is>
          <t>Missing distance</t>
        </is>
      </c>
      <c r="L49" s="20" t="inlineStr">
        <is>
          <t>High</t>
        </is>
      </c>
      <c r="M49" s="20" t="inlineStr">
        <is>
          <t>claimed_distance_km is empty or non-numeric</t>
        </is>
      </c>
    </row>
    <row r="50">
      <c r="A50" s="20" t="inlineStr">
        <is>
          <t>07 Sep</t>
        </is>
      </c>
      <c r="B50" s="21" t="n">
        <v>49940.4</v>
      </c>
      <c r="H50" s="22" t="n">
        <v>62</v>
      </c>
      <c r="I50" s="20" t="inlineStr">
        <is>
          <t>SHP-0062</t>
        </is>
      </c>
      <c r="J50" s="20" t="inlineStr">
        <is>
          <t>Lusaka -&gt; Petauke</t>
        </is>
      </c>
      <c r="K50" s="20" t="inlineStr">
        <is>
          <t>Missing distance</t>
        </is>
      </c>
      <c r="L50" s="20" t="inlineStr">
        <is>
          <t>High</t>
        </is>
      </c>
      <c r="M50" s="20" t="inlineStr">
        <is>
          <t>claimed_distance_km is empty or non-numeric</t>
        </is>
      </c>
    </row>
    <row r="51">
      <c r="A51" s="20" t="inlineStr">
        <is>
          <t>14 Sep</t>
        </is>
      </c>
      <c r="B51" s="21" t="n">
        <v>33895.29166666666</v>
      </c>
      <c r="H51" s="22" t="n">
        <v>99</v>
      </c>
      <c r="I51" s="20" t="inlineStr">
        <is>
          <t>SHP-0099</t>
        </is>
      </c>
      <c r="J51" s="20" t="inlineStr">
        <is>
          <t>Lusaka -&gt; Livingstone</t>
        </is>
      </c>
      <c r="K51" s="20" t="inlineStr">
        <is>
          <t>Missing distance</t>
        </is>
      </c>
      <c r="L51" s="20" t="inlineStr">
        <is>
          <t>High</t>
        </is>
      </c>
      <c r="M51" s="20" t="inlineStr">
        <is>
          <t>claimed_distance_km is empty or non-numeric</t>
        </is>
      </c>
    </row>
    <row r="52">
      <c r="A52" s="20" t="inlineStr">
        <is>
          <t>21 Sep</t>
        </is>
      </c>
      <c r="B52" s="21" t="n">
        <v>34802.18181818182</v>
      </c>
      <c r="H52" s="22" t="n">
        <v>124</v>
      </c>
      <c r="I52" s="20" t="inlineStr">
        <is>
          <t>SHP-0124</t>
        </is>
      </c>
      <c r="J52" s="20" t="inlineStr">
        <is>
          <t>Lusaka -&gt; Solwezi</t>
        </is>
      </c>
      <c r="K52" s="20" t="inlineStr">
        <is>
          <t>Missing distance</t>
        </is>
      </c>
      <c r="L52" s="20" t="inlineStr">
        <is>
          <t>High</t>
        </is>
      </c>
      <c r="M52" s="20" t="inlineStr">
        <is>
          <t>claimed_distance_km is empty or non-numeric</t>
        </is>
      </c>
    </row>
    <row r="53">
      <c r="A53" s="20" t="inlineStr">
        <is>
          <t>28 Sep</t>
        </is>
      </c>
      <c r="B53" s="21" t="n">
        <v>44436.3076923077</v>
      </c>
      <c r="H53" s="22" t="n">
        <v>150</v>
      </c>
      <c r="I53" s="20" t="inlineStr">
        <is>
          <t>SHP-0150</t>
        </is>
      </c>
      <c r="J53" s="20" t="inlineStr">
        <is>
          <t>Lusaka -&gt; Kabwe</t>
        </is>
      </c>
      <c r="K53" s="20" t="inlineStr">
        <is>
          <t>Missing distance</t>
        </is>
      </c>
      <c r="L53" s="20" t="inlineStr">
        <is>
          <t>High</t>
        </is>
      </c>
      <c r="M53" s="20" t="inlineStr">
        <is>
          <t>claimed_distance_km is empty or non-numeric</t>
        </is>
      </c>
    </row>
    <row r="54">
      <c r="H54" s="22" t="n">
        <v>188</v>
      </c>
      <c r="I54" s="20" t="inlineStr">
        <is>
          <t>SHP-0188</t>
        </is>
      </c>
      <c r="J54" s="20" t="inlineStr">
        <is>
          <t>Lusaka -&gt; Choma</t>
        </is>
      </c>
      <c r="K54" s="20" t="inlineStr">
        <is>
          <t>Missing distance</t>
        </is>
      </c>
      <c r="L54" s="20" t="inlineStr">
        <is>
          <t>High</t>
        </is>
      </c>
      <c r="M54" s="20" t="inlineStr">
        <is>
          <t>claimed_distance_km is empty or non-numeric</t>
        </is>
      </c>
    </row>
    <row r="55">
      <c r="H55" s="22" t="n">
        <v>223</v>
      </c>
      <c r="I55" s="20" t="inlineStr">
        <is>
          <t>SHP-0223</t>
        </is>
      </c>
      <c r="J55" s="20" t="inlineStr">
        <is>
          <t>Ndola -&gt; Solwezi</t>
        </is>
      </c>
      <c r="K55" s="20" t="inlineStr">
        <is>
          <t>Missing distance</t>
        </is>
      </c>
      <c r="L55" s="20" t="inlineStr">
        <is>
          <t>High</t>
        </is>
      </c>
      <c r="M55" s="20" t="inlineStr">
        <is>
          <t>claimed_distance_km is empty or non-numeric</t>
        </is>
      </c>
    </row>
    <row r="56">
      <c r="A56" s="19" t="inlineStr">
        <is>
          <t>Data-quality issues by category</t>
        </is>
      </c>
      <c r="H56" s="22" t="n">
        <v>227</v>
      </c>
      <c r="I56" s="20" t="inlineStr">
        <is>
          <t>SHP-0227</t>
        </is>
      </c>
      <c r="J56" s="20" t="inlineStr">
        <is>
          <t>Lusaka -&gt; Kabwe</t>
        </is>
      </c>
      <c r="K56" s="20" t="inlineStr">
        <is>
          <t>Missing distance</t>
        </is>
      </c>
      <c r="L56" s="20" t="inlineStr">
        <is>
          <t>High</t>
        </is>
      </c>
      <c r="M56" s="20" t="inlineStr">
        <is>
          <t>claimed_distance_km is empty or non-numeric</t>
        </is>
      </c>
    </row>
    <row r="57">
      <c r="A57" s="9" t="inlineStr">
        <is>
          <t>Issue</t>
        </is>
      </c>
      <c r="B57" s="9" t="inlineStr">
        <is>
          <t>Severity</t>
        </is>
      </c>
      <c r="C57" s="9" t="inlineStr">
        <is>
          <t>Records</t>
        </is>
      </c>
      <c r="H57" s="22" t="n">
        <v>335</v>
      </c>
      <c r="I57" s="20" t="inlineStr">
        <is>
          <t>SHP-0335</t>
        </is>
      </c>
      <c r="J57" s="20" t="inlineStr">
        <is>
          <t>Lusaka -&gt; Livingstone</t>
        </is>
      </c>
      <c r="K57" s="20" t="inlineStr">
        <is>
          <t>Missing distance</t>
        </is>
      </c>
      <c r="L57" s="20" t="inlineStr">
        <is>
          <t>High</t>
        </is>
      </c>
      <c r="M57" s="20" t="inlineStr">
        <is>
          <t>claimed_distance_km is empty or non-numeric</t>
        </is>
      </c>
    </row>
    <row r="58">
      <c r="A58" s="20" t="inlineStr">
        <is>
          <t>Distance discrepancy</t>
        </is>
      </c>
      <c r="B58" s="20" t="inlineStr">
        <is>
          <t>High</t>
        </is>
      </c>
      <c r="C58" s="21" t="n">
        <v>17</v>
      </c>
      <c r="H58" s="22" t="n">
        <v>347</v>
      </c>
      <c r="I58" s="20" t="inlineStr">
        <is>
          <t>SHP-0347</t>
        </is>
      </c>
      <c r="J58" s="20" t="inlineStr">
        <is>
          <t>Kasama -&gt; Mpika</t>
        </is>
      </c>
      <c r="K58" s="20" t="inlineStr">
        <is>
          <t>Missing distance</t>
        </is>
      </c>
      <c r="L58" s="20" t="inlineStr">
        <is>
          <t>High</t>
        </is>
      </c>
      <c r="M58" s="20" t="inlineStr">
        <is>
          <t>claimed_distance_km is empty or non-numeric</t>
        </is>
      </c>
    </row>
    <row r="59">
      <c r="A59" s="20" t="inlineStr">
        <is>
          <t>Missing distance</t>
        </is>
      </c>
      <c r="B59" s="20" t="inlineStr">
        <is>
          <t>High</t>
        </is>
      </c>
      <c r="C59" s="21" t="n">
        <v>11</v>
      </c>
      <c r="H59" s="22" t="n">
        <v>398</v>
      </c>
      <c r="I59" s="20" t="inlineStr">
        <is>
          <t>SHP-0398</t>
        </is>
      </c>
      <c r="J59" s="20" t="inlineStr">
        <is>
          <t>Lusaka -&gt; Mongu</t>
        </is>
      </c>
      <c r="K59" s="20" t="inlineStr">
        <is>
          <t>Missing distance</t>
        </is>
      </c>
      <c r="L59" s="20" t="inlineStr">
        <is>
          <t>High</t>
        </is>
      </c>
      <c r="M59" s="20" t="inlineStr">
        <is>
          <t>claimed_distance_km is empty or non-numeric</t>
        </is>
      </c>
    </row>
    <row r="60">
      <c r="A60" s="20" t="inlineStr">
        <is>
          <t>High-cost anomaly</t>
        </is>
      </c>
      <c r="B60" s="20" t="inlineStr">
        <is>
          <t>Medium</t>
        </is>
      </c>
      <c r="C60" s="21" t="n">
        <v>9</v>
      </c>
    </row>
    <row r="61">
      <c r="A61" s="20" t="inlineStr">
        <is>
          <t>Duplicate record</t>
        </is>
      </c>
      <c r="B61" s="20" t="inlineStr">
        <is>
          <t>Medium</t>
        </is>
      </c>
      <c r="C61" s="21" t="n">
        <v>8</v>
      </c>
    </row>
    <row r="62">
      <c r="A62" s="20" t="inlineStr">
        <is>
          <t>Missing company/depot</t>
        </is>
      </c>
      <c r="B62" s="20" t="inlineStr">
        <is>
          <t>High</t>
        </is>
      </c>
      <c r="C62" s="21" t="n">
        <v>6</v>
      </c>
    </row>
    <row r="63">
      <c r="A63" s="20" t="inlineStr">
        <is>
          <t>Invalid volume</t>
        </is>
      </c>
      <c r="B63" s="20" t="inlineStr">
        <is>
          <t>High</t>
        </is>
      </c>
      <c r="C63" s="21" t="n">
        <v>4</v>
      </c>
    </row>
    <row r="66">
      <c r="A66" s="19" t="inlineStr">
        <is>
          <t>Monthly summary (clean records)</t>
        </is>
      </c>
    </row>
    <row r="67">
      <c r="A67" s="9" t="inlineStr">
        <is>
          <t>Month</t>
        </is>
      </c>
      <c r="B67" s="9" t="inlineStr">
        <is>
          <t>Volume (L)</t>
        </is>
      </c>
      <c r="C67" s="9" t="inlineStr">
        <is>
          <t>Avg cost (ZMW)</t>
        </is>
      </c>
    </row>
    <row r="68">
      <c r="A68" s="20" t="inlineStr">
        <is>
          <t>2026-07</t>
        </is>
      </c>
      <c r="B68" s="21" t="n">
        <v>3812000</v>
      </c>
      <c r="C68" s="21" t="n">
        <v>36493.83620689655</v>
      </c>
    </row>
    <row r="69">
      <c r="A69" s="20" t="inlineStr">
        <is>
          <t>2026-08</t>
        </is>
      </c>
      <c r="B69" s="21" t="n">
        <v>4208000</v>
      </c>
      <c r="C69" s="21" t="n">
        <v>41750.140625</v>
      </c>
    </row>
    <row r="70">
      <c r="A70" s="20" t="inlineStr">
        <is>
          <t>2026-09</t>
        </is>
      </c>
      <c r="B70" s="21" t="n">
        <v>3542000</v>
      </c>
      <c r="C70" s="21" t="n">
        <v>40810.26605504587</v>
      </c>
    </row>
    <row r="73">
      <c r="A73" s="19" t="inlineStr">
        <is>
          <t>Routes flagged for further investigation</t>
        </is>
      </c>
    </row>
    <row r="74">
      <c r="A74" s="9" t="inlineStr">
        <is>
          <t>Route</t>
        </is>
      </c>
      <c r="B74" s="9" t="inlineStr">
        <is>
          <t>Cost/litre-km</t>
        </is>
      </c>
      <c r="C74" s="9" t="inlineStr">
        <is>
          <t>Vs network</t>
        </is>
      </c>
      <c r="D74" s="9" t="inlineStr">
        <is>
          <t>Anomalies</t>
        </is>
      </c>
      <c r="E74" s="9" t="inlineStr">
        <is>
          <t>Reason</t>
        </is>
      </c>
    </row>
    <row r="75">
      <c r="A75" s="20" t="inlineStr">
        <is>
          <t>Lusaka -&gt; Chipata</t>
        </is>
      </c>
      <c r="B75" s="23" t="n">
        <v>0.0050461116965226</v>
      </c>
      <c r="C75" s="24" t="n">
        <v>0.1388128294942705</v>
      </c>
      <c r="D75" s="22" t="n">
        <v>0</v>
      </c>
      <c r="E75" s="20" t="inlineStr">
        <is>
          <t>cost per litre-km 13.9% above network average</t>
        </is>
      </c>
    </row>
    <row r="76">
      <c r="A76" s="20" t="inlineStr">
        <is>
          <t>Livingstone -&gt; Kazungula</t>
        </is>
      </c>
      <c r="B76" s="23" t="n">
        <v>0.00496625</v>
      </c>
      <c r="C76" s="24" t="n">
        <v>0.1207895414549172</v>
      </c>
      <c r="D76" s="22" t="n">
        <v>0</v>
      </c>
      <c r="E76" s="20" t="inlineStr">
        <is>
          <t>cost per litre-km 12.1% above network average</t>
        </is>
      </c>
    </row>
    <row r="77">
      <c r="A77" s="20" t="inlineStr">
        <is>
          <t>Lusaka -&gt; Kitwe</t>
        </is>
      </c>
      <c r="B77" s="23" t="n">
        <v>0.0042498762813715</v>
      </c>
      <c r="C77" s="24" t="n">
        <v>-0.04088257968517439</v>
      </c>
      <c r="D77" s="22" t="n">
        <v>2</v>
      </c>
      <c r="E77" s="20" t="inlineStr">
        <is>
          <t>2 high-cost anomalies on this 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2026-10-03T10:21:29Z</dcterms:created>
  <dcterms:modified xsi:type="dcterms:W3CDTF">2026-10-03T10:21:31Z</dcterms:modified>
</cp:coreProperties>
</file>